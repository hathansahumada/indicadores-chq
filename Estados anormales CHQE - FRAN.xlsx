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humada\Downloads\"/>
    </mc:Choice>
  </mc:AlternateContent>
  <xr:revisionPtr revIDLastSave="0" documentId="13_ncr:1_{D1F32859-B64D-4D13-B948-4B26E0536BA2}" xr6:coauthVersionLast="36" xr6:coauthVersionMax="47" xr10:uidLastSave="{00000000-0000-0000-0000-000000000000}"/>
  <bookViews>
    <workbookView xWindow="0" yWindow="0" windowWidth="28800" windowHeight="12225" xr2:uid="{B2178D1E-E5A2-4BE7-9D50-93468CDF3078}"/>
  </bookViews>
  <sheets>
    <sheet name="EA_" sheetId="15" r:id="rId1"/>
    <sheet name="Comuna_empresa" sheetId="19" r:id="rId2"/>
  </sheets>
  <definedNames>
    <definedName name="_xlnm._FilterDatabase" localSheetId="0" hidden="1">EA_!$A$1:$J$779</definedName>
    <definedName name="ESTADO_COMUNA_EMPRESA022019028" localSheetId="1">Comuna_empresa!#REF!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88" i="15" l="1"/>
  <c r="J588" i="15"/>
  <c r="I589" i="15"/>
  <c r="J589" i="15"/>
  <c r="I590" i="15"/>
  <c r="J590" i="15"/>
  <c r="I591" i="15"/>
  <c r="J591" i="15"/>
  <c r="I592" i="15"/>
  <c r="J592" i="15"/>
  <c r="I593" i="15"/>
  <c r="J593" i="15"/>
  <c r="I594" i="15"/>
  <c r="J594" i="15"/>
  <c r="I595" i="15"/>
  <c r="J595" i="15"/>
  <c r="I596" i="15"/>
  <c r="J596" i="15"/>
  <c r="I597" i="15"/>
  <c r="J597" i="15"/>
  <c r="I598" i="15"/>
  <c r="J598" i="15"/>
  <c r="I599" i="15"/>
  <c r="J599" i="15"/>
  <c r="I600" i="15"/>
  <c r="J600" i="15"/>
  <c r="I601" i="15"/>
  <c r="J601" i="15"/>
  <c r="I602" i="15"/>
  <c r="J602" i="15"/>
  <c r="I603" i="15"/>
  <c r="J603" i="15"/>
  <c r="I604" i="15"/>
  <c r="J604" i="15"/>
  <c r="I605" i="15"/>
  <c r="J605" i="15"/>
  <c r="I606" i="15"/>
  <c r="J606" i="15"/>
  <c r="I607" i="15"/>
  <c r="J607" i="15"/>
  <c r="I608" i="15"/>
  <c r="J608" i="15"/>
  <c r="I609" i="15"/>
  <c r="J609" i="15"/>
  <c r="I610" i="15"/>
  <c r="J610" i="15"/>
  <c r="I611" i="15"/>
  <c r="J611" i="15"/>
  <c r="I612" i="15"/>
  <c r="J612" i="15"/>
  <c r="I613" i="15"/>
  <c r="J613" i="15"/>
  <c r="I614" i="15"/>
  <c r="J614" i="15"/>
  <c r="I615" i="15"/>
  <c r="J615" i="15"/>
  <c r="I616" i="15"/>
  <c r="J616" i="15"/>
  <c r="I617" i="15"/>
  <c r="J617" i="15"/>
  <c r="I618" i="15"/>
  <c r="J618" i="15"/>
  <c r="I619" i="15"/>
  <c r="J619" i="15"/>
  <c r="I620" i="15"/>
  <c r="J620" i="15"/>
  <c r="I621" i="15"/>
  <c r="J621" i="15"/>
  <c r="I622" i="15"/>
  <c r="J622" i="15"/>
  <c r="I623" i="15"/>
  <c r="J623" i="15"/>
  <c r="I624" i="15"/>
  <c r="J624" i="15"/>
  <c r="I625" i="15"/>
  <c r="J625" i="15"/>
  <c r="I626" i="15"/>
  <c r="J626" i="15"/>
  <c r="I627" i="15"/>
  <c r="J627" i="15"/>
  <c r="I628" i="15"/>
  <c r="J628" i="15"/>
  <c r="I629" i="15"/>
  <c r="J629" i="15"/>
  <c r="I630" i="15"/>
  <c r="J630" i="15"/>
  <c r="I631" i="15"/>
  <c r="J631" i="15"/>
  <c r="I632" i="15"/>
  <c r="J632" i="15"/>
  <c r="I633" i="15"/>
  <c r="J633" i="15"/>
  <c r="I634" i="15"/>
  <c r="J634" i="15"/>
  <c r="I635" i="15"/>
  <c r="J635" i="15"/>
  <c r="I636" i="15"/>
  <c r="J636" i="15"/>
  <c r="I637" i="15"/>
  <c r="J637" i="15"/>
  <c r="I638" i="15"/>
  <c r="J638" i="15"/>
  <c r="I639" i="15"/>
  <c r="J639" i="15"/>
  <c r="I640" i="15"/>
  <c r="J640" i="15"/>
  <c r="I641" i="15"/>
  <c r="J641" i="15"/>
  <c r="I642" i="15"/>
  <c r="J642" i="15"/>
  <c r="I643" i="15"/>
  <c r="J643" i="15"/>
  <c r="I644" i="15"/>
  <c r="J644" i="15"/>
  <c r="I645" i="15"/>
  <c r="J645" i="15"/>
  <c r="I646" i="15"/>
  <c r="J646" i="15"/>
  <c r="I647" i="15"/>
  <c r="J647" i="15"/>
  <c r="I648" i="15"/>
  <c r="J648" i="15"/>
  <c r="I649" i="15"/>
  <c r="J649" i="15"/>
  <c r="I650" i="15"/>
  <c r="J650" i="15"/>
  <c r="I651" i="15"/>
  <c r="J651" i="15"/>
  <c r="I652" i="15"/>
  <c r="J652" i="15"/>
  <c r="I653" i="15"/>
  <c r="J653" i="15"/>
  <c r="I654" i="15"/>
  <c r="J654" i="15"/>
  <c r="I655" i="15"/>
  <c r="J655" i="15"/>
  <c r="I656" i="15"/>
  <c r="J656" i="15"/>
  <c r="I657" i="15"/>
  <c r="J657" i="15"/>
  <c r="I658" i="15"/>
  <c r="J658" i="15"/>
  <c r="I659" i="15"/>
  <c r="J659" i="15"/>
  <c r="I660" i="15"/>
  <c r="J660" i="15"/>
  <c r="I661" i="15"/>
  <c r="J661" i="15"/>
  <c r="I662" i="15"/>
  <c r="J662" i="15"/>
  <c r="I663" i="15"/>
  <c r="J663" i="15"/>
  <c r="I664" i="15"/>
  <c r="J664" i="15"/>
  <c r="I665" i="15"/>
  <c r="J665" i="15"/>
  <c r="I666" i="15"/>
  <c r="J666" i="15"/>
  <c r="I667" i="15"/>
  <c r="J667" i="15"/>
  <c r="I668" i="15"/>
  <c r="J668" i="15"/>
  <c r="I669" i="15"/>
  <c r="J669" i="15"/>
  <c r="I670" i="15"/>
  <c r="J670" i="15"/>
  <c r="I671" i="15"/>
  <c r="J671" i="15"/>
  <c r="I672" i="15"/>
  <c r="J672" i="15"/>
  <c r="I673" i="15"/>
  <c r="J673" i="15"/>
  <c r="I674" i="15"/>
  <c r="J674" i="15"/>
  <c r="I675" i="15"/>
  <c r="J675" i="15"/>
  <c r="I676" i="15"/>
  <c r="J676" i="15"/>
  <c r="I677" i="15"/>
  <c r="J677" i="15"/>
  <c r="I678" i="15"/>
  <c r="J678" i="15"/>
  <c r="I679" i="15"/>
  <c r="J679" i="15"/>
  <c r="I680" i="15"/>
  <c r="J680" i="15"/>
  <c r="I681" i="15"/>
  <c r="J681" i="15"/>
  <c r="I682" i="15"/>
  <c r="J682" i="15"/>
  <c r="I683" i="15"/>
  <c r="J683" i="15"/>
  <c r="I684" i="15"/>
  <c r="J684" i="15"/>
  <c r="I685" i="15"/>
  <c r="J685" i="15"/>
  <c r="I686" i="15"/>
  <c r="J686" i="15"/>
  <c r="I687" i="15"/>
  <c r="J687" i="15"/>
  <c r="I688" i="15"/>
  <c r="J688" i="15"/>
  <c r="I689" i="15"/>
  <c r="J689" i="15"/>
  <c r="I690" i="15"/>
  <c r="J690" i="15"/>
  <c r="I691" i="15"/>
  <c r="J691" i="15"/>
  <c r="I692" i="15"/>
  <c r="J692" i="15"/>
  <c r="I693" i="15"/>
  <c r="J693" i="15"/>
  <c r="I694" i="15"/>
  <c r="J694" i="15"/>
  <c r="I695" i="15"/>
  <c r="J695" i="15"/>
  <c r="I696" i="15"/>
  <c r="J696" i="15"/>
  <c r="I697" i="15"/>
  <c r="J697" i="15"/>
  <c r="I698" i="15"/>
  <c r="J698" i="15"/>
  <c r="I699" i="15"/>
  <c r="J699" i="15"/>
  <c r="I700" i="15"/>
  <c r="J700" i="15"/>
  <c r="I701" i="15"/>
  <c r="J701" i="15"/>
  <c r="I702" i="15"/>
  <c r="J702" i="15"/>
  <c r="I703" i="15"/>
  <c r="J703" i="15"/>
  <c r="I704" i="15"/>
  <c r="J704" i="15"/>
  <c r="I705" i="15"/>
  <c r="J705" i="15"/>
  <c r="I706" i="15"/>
  <c r="J706" i="15"/>
  <c r="I707" i="15"/>
  <c r="J707" i="15"/>
  <c r="I708" i="15"/>
  <c r="J708" i="15"/>
  <c r="I709" i="15"/>
  <c r="J709" i="15"/>
  <c r="I710" i="15"/>
  <c r="J710" i="15"/>
  <c r="I711" i="15"/>
  <c r="J711" i="15"/>
  <c r="I712" i="15"/>
  <c r="J712" i="15"/>
  <c r="I713" i="15"/>
  <c r="J713" i="15"/>
  <c r="I714" i="15"/>
  <c r="J714" i="15"/>
  <c r="I715" i="15"/>
  <c r="J715" i="15"/>
  <c r="I716" i="15"/>
  <c r="J716" i="15"/>
  <c r="I717" i="15"/>
  <c r="J717" i="15"/>
  <c r="I718" i="15"/>
  <c r="J718" i="15"/>
  <c r="I719" i="15"/>
  <c r="J719" i="15"/>
  <c r="I720" i="15"/>
  <c r="J720" i="15"/>
  <c r="I721" i="15"/>
  <c r="J721" i="15"/>
  <c r="I722" i="15"/>
  <c r="J722" i="15"/>
  <c r="I723" i="15"/>
  <c r="J723" i="15"/>
  <c r="I724" i="15"/>
  <c r="J724" i="15"/>
  <c r="I725" i="15"/>
  <c r="J725" i="15"/>
  <c r="I726" i="15"/>
  <c r="J726" i="15"/>
  <c r="I727" i="15"/>
  <c r="J727" i="15"/>
  <c r="I728" i="15"/>
  <c r="J728" i="15"/>
  <c r="I729" i="15"/>
  <c r="J729" i="15"/>
  <c r="I730" i="15"/>
  <c r="J730" i="15"/>
  <c r="I731" i="15"/>
  <c r="J731" i="15"/>
  <c r="I732" i="15"/>
  <c r="J732" i="15"/>
  <c r="I733" i="15"/>
  <c r="J733" i="15"/>
  <c r="I734" i="15"/>
  <c r="J734" i="15"/>
  <c r="I735" i="15"/>
  <c r="J735" i="15"/>
  <c r="I736" i="15"/>
  <c r="J736" i="15"/>
  <c r="I737" i="15"/>
  <c r="J737" i="15"/>
  <c r="I738" i="15"/>
  <c r="J738" i="15"/>
  <c r="I739" i="15"/>
  <c r="J739" i="15"/>
  <c r="I740" i="15"/>
  <c r="J740" i="15"/>
  <c r="I741" i="15"/>
  <c r="J741" i="15"/>
  <c r="I742" i="15"/>
  <c r="J742" i="15"/>
  <c r="I743" i="15"/>
  <c r="J743" i="15"/>
  <c r="I744" i="15"/>
  <c r="J744" i="15"/>
  <c r="I745" i="15"/>
  <c r="J745" i="15"/>
  <c r="I746" i="15"/>
  <c r="J746" i="15"/>
  <c r="I747" i="15"/>
  <c r="J747" i="15"/>
  <c r="I748" i="15"/>
  <c r="J748" i="15"/>
  <c r="I749" i="15"/>
  <c r="J749" i="15"/>
  <c r="I750" i="15"/>
  <c r="J750" i="15"/>
  <c r="I751" i="15"/>
  <c r="J751" i="15"/>
  <c r="I752" i="15"/>
  <c r="J752" i="15"/>
  <c r="I753" i="15"/>
  <c r="J753" i="15"/>
  <c r="I754" i="15"/>
  <c r="J754" i="15"/>
  <c r="I755" i="15"/>
  <c r="J755" i="15"/>
  <c r="I756" i="15"/>
  <c r="J756" i="15"/>
  <c r="I757" i="15"/>
  <c r="J757" i="15"/>
  <c r="I758" i="15"/>
  <c r="J758" i="15"/>
  <c r="I759" i="15"/>
  <c r="J759" i="15"/>
  <c r="I760" i="15"/>
  <c r="J760" i="15"/>
  <c r="I761" i="15"/>
  <c r="J761" i="15"/>
  <c r="I762" i="15"/>
  <c r="J762" i="15"/>
  <c r="I763" i="15"/>
  <c r="J763" i="15"/>
  <c r="I764" i="15"/>
  <c r="J764" i="15"/>
  <c r="I765" i="15"/>
  <c r="J765" i="15"/>
  <c r="I766" i="15"/>
  <c r="J766" i="15"/>
  <c r="I767" i="15"/>
  <c r="J767" i="15"/>
  <c r="I768" i="15"/>
  <c r="J768" i="15"/>
  <c r="I769" i="15"/>
  <c r="J769" i="15"/>
  <c r="I770" i="15"/>
  <c r="J770" i="15"/>
  <c r="I771" i="15"/>
  <c r="J771" i="15"/>
  <c r="I772" i="15"/>
  <c r="J772" i="15"/>
  <c r="I773" i="15"/>
  <c r="J773" i="15"/>
  <c r="I774" i="15"/>
  <c r="J774" i="15"/>
  <c r="I775" i="15"/>
  <c r="J775" i="15"/>
  <c r="I776" i="15"/>
  <c r="J776" i="15"/>
  <c r="I777" i="15"/>
  <c r="J777" i="15"/>
  <c r="I778" i="15"/>
  <c r="J778" i="15"/>
  <c r="I779" i="15"/>
  <c r="J779" i="15"/>
  <c r="I2" i="15" l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562" i="15"/>
  <c r="I563" i="15"/>
  <c r="I564" i="15"/>
  <c r="I565" i="15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86" i="15"/>
  <c r="I587" i="15"/>
  <c r="J466" i="15" l="1"/>
  <c r="J467" i="15"/>
  <c r="J468" i="15"/>
  <c r="J469" i="15"/>
  <c r="J470" i="15"/>
  <c r="J471" i="15"/>
  <c r="J472" i="15"/>
  <c r="J473" i="15"/>
  <c r="J474" i="15"/>
  <c r="J475" i="15"/>
  <c r="J476" i="15"/>
  <c r="J477" i="15"/>
  <c r="J478" i="15"/>
  <c r="J479" i="15"/>
  <c r="J480" i="15"/>
  <c r="J481" i="15"/>
  <c r="J482" i="15"/>
  <c r="J483" i="15"/>
  <c r="J484" i="15"/>
  <c r="J485" i="15"/>
  <c r="J486" i="15"/>
  <c r="J487" i="15"/>
  <c r="J488" i="15"/>
  <c r="J489" i="15"/>
  <c r="J490" i="15"/>
  <c r="J491" i="15"/>
  <c r="J492" i="15"/>
  <c r="J493" i="15"/>
  <c r="J494" i="15"/>
  <c r="J495" i="15"/>
  <c r="J496" i="15"/>
  <c r="J497" i="15"/>
  <c r="J498" i="15"/>
  <c r="J499" i="15"/>
  <c r="J500" i="15"/>
  <c r="J501" i="15"/>
  <c r="J502" i="15"/>
  <c r="J503" i="15"/>
  <c r="J504" i="15"/>
  <c r="J505" i="15"/>
  <c r="J506" i="15"/>
  <c r="J507" i="15"/>
  <c r="J508" i="15"/>
  <c r="J509" i="15"/>
  <c r="J510" i="15"/>
  <c r="J511" i="15"/>
  <c r="J512" i="15"/>
  <c r="J513" i="15"/>
  <c r="J514" i="15"/>
  <c r="J515" i="15"/>
  <c r="J516" i="15"/>
  <c r="J517" i="15"/>
  <c r="J518" i="15"/>
  <c r="J519" i="15"/>
  <c r="J520" i="15"/>
  <c r="J521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534" i="15"/>
  <c r="J535" i="15"/>
  <c r="J536" i="15"/>
  <c r="J537" i="15"/>
  <c r="J538" i="15"/>
  <c r="J539" i="15"/>
  <c r="J540" i="15"/>
  <c r="J541" i="15"/>
  <c r="J542" i="15"/>
  <c r="J543" i="15"/>
  <c r="J544" i="15"/>
  <c r="J545" i="15"/>
  <c r="J546" i="15"/>
  <c r="J547" i="15"/>
  <c r="J548" i="15"/>
  <c r="J549" i="15"/>
  <c r="J550" i="15"/>
  <c r="J551" i="15"/>
  <c r="J552" i="15"/>
  <c r="J553" i="15"/>
  <c r="J554" i="15"/>
  <c r="J555" i="15"/>
  <c r="J556" i="15"/>
  <c r="J557" i="15"/>
  <c r="J558" i="15"/>
  <c r="J559" i="15"/>
  <c r="J560" i="15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J574" i="15"/>
  <c r="J575" i="15"/>
  <c r="J576" i="15"/>
  <c r="J577" i="15"/>
  <c r="J578" i="15"/>
  <c r="J579" i="15"/>
  <c r="J580" i="15"/>
  <c r="J581" i="15"/>
  <c r="J582" i="15"/>
  <c r="J583" i="15"/>
  <c r="J584" i="15"/>
  <c r="J585" i="15"/>
  <c r="J586" i="15"/>
  <c r="J587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J344" i="15"/>
  <c r="J345" i="15"/>
  <c r="J346" i="15"/>
  <c r="J347" i="15"/>
  <c r="J348" i="15"/>
  <c r="J349" i="15"/>
  <c r="J350" i="15"/>
  <c r="J351" i="15"/>
  <c r="J352" i="15"/>
  <c r="J353" i="15"/>
  <c r="J354" i="15"/>
  <c r="J355" i="15"/>
  <c r="J356" i="15"/>
  <c r="J357" i="15"/>
  <c r="J358" i="15"/>
  <c r="J359" i="15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J390" i="15"/>
  <c r="J391" i="15"/>
  <c r="J392" i="15"/>
  <c r="J393" i="15"/>
  <c r="J394" i="15"/>
  <c r="J395" i="15"/>
  <c r="J396" i="15"/>
  <c r="J397" i="15"/>
  <c r="J398" i="15"/>
  <c r="J399" i="15"/>
  <c r="J400" i="15"/>
  <c r="J401" i="15"/>
  <c r="J402" i="15"/>
  <c r="J403" i="15"/>
  <c r="J404" i="15"/>
  <c r="J405" i="15"/>
  <c r="J406" i="15"/>
  <c r="J407" i="15"/>
  <c r="J408" i="15"/>
  <c r="J409" i="15"/>
  <c r="J410" i="15"/>
  <c r="J411" i="15"/>
  <c r="J412" i="15"/>
  <c r="J413" i="15"/>
  <c r="J414" i="15"/>
  <c r="J415" i="15"/>
  <c r="J416" i="15"/>
  <c r="J417" i="15"/>
  <c r="J418" i="15"/>
  <c r="J419" i="15"/>
  <c r="J420" i="15"/>
  <c r="J421" i="15"/>
  <c r="J422" i="15"/>
  <c r="J423" i="15"/>
  <c r="J424" i="15"/>
  <c r="J425" i="15"/>
  <c r="J426" i="15"/>
  <c r="J427" i="15"/>
  <c r="J428" i="15"/>
  <c r="J429" i="15"/>
  <c r="J430" i="15"/>
  <c r="J431" i="15"/>
  <c r="J432" i="15"/>
  <c r="J433" i="15"/>
  <c r="J434" i="15"/>
  <c r="J435" i="15"/>
  <c r="J436" i="15"/>
  <c r="J437" i="15"/>
  <c r="J438" i="15"/>
  <c r="J439" i="15"/>
  <c r="J440" i="15"/>
  <c r="J441" i="15"/>
  <c r="J442" i="15"/>
  <c r="J443" i="15"/>
  <c r="J444" i="15"/>
  <c r="J445" i="15"/>
  <c r="J446" i="15"/>
  <c r="J447" i="15"/>
  <c r="J448" i="15"/>
  <c r="J449" i="15"/>
  <c r="J450" i="15"/>
  <c r="J451" i="15"/>
  <c r="J452" i="15"/>
  <c r="J453" i="15"/>
  <c r="J454" i="15"/>
  <c r="J455" i="15"/>
  <c r="J456" i="15"/>
  <c r="J457" i="15"/>
  <c r="J458" i="15"/>
  <c r="J459" i="15"/>
  <c r="J460" i="15"/>
  <c r="J461" i="15"/>
  <c r="J462" i="15"/>
  <c r="J463" i="15"/>
  <c r="J464" i="15"/>
  <c r="J465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</calcChain>
</file>

<file path=xl/sharedStrings.xml><?xml version="1.0" encoding="utf-8"?>
<sst xmlns="http://schemas.openxmlformats.org/spreadsheetml/2006/main" count="880" uniqueCount="647">
  <si>
    <t>comuna</t>
  </si>
  <si>
    <t>interrupcion</t>
  </si>
  <si>
    <t>bloque reposición</t>
  </si>
  <si>
    <t>estado par ce_id</t>
  </si>
  <si>
    <t>fecha inicio estado</t>
  </si>
  <si>
    <t>fecha termino estado</t>
  </si>
  <si>
    <t>tipo interrupcion</t>
  </si>
  <si>
    <t>tipo estado sd_id</t>
  </si>
  <si>
    <t>int_comuna</t>
  </si>
  <si>
    <t>nombre_comuna</t>
  </si>
  <si>
    <t>006307202506110133</t>
  </si>
  <si>
    <t>006307202506120172</t>
  </si>
  <si>
    <t>006307202506120274</t>
  </si>
  <si>
    <t>006307202506120296</t>
  </si>
  <si>
    <t>006307202506120300</t>
  </si>
  <si>
    <t>006307202506120368</t>
  </si>
  <si>
    <t>006307202506120414</t>
  </si>
  <si>
    <t>006307202506120490</t>
  </si>
  <si>
    <t>006307202506120491</t>
  </si>
  <si>
    <t>006307202506130099</t>
  </si>
  <si>
    <t>006307202506130172</t>
  </si>
  <si>
    <t>006307202506110064</t>
  </si>
  <si>
    <t>006307202506110121</t>
  </si>
  <si>
    <t>006307202506110134</t>
  </si>
  <si>
    <t>006307202506110135</t>
  </si>
  <si>
    <t>006307202506110142</t>
  </si>
  <si>
    <t>006307202506110143</t>
  </si>
  <si>
    <t>006307202506110144</t>
  </si>
  <si>
    <t>006307202506120018</t>
  </si>
  <si>
    <t>006307202506120206</t>
  </si>
  <si>
    <t>006307202506120258</t>
  </si>
  <si>
    <t>006307202506120275</t>
  </si>
  <si>
    <t>006307202506120309</t>
  </si>
  <si>
    <t>006307202506120310</t>
  </si>
  <si>
    <t>006307202506120312</t>
  </si>
  <si>
    <t>006307202506120336</t>
  </si>
  <si>
    <t>006307202506120345</t>
  </si>
  <si>
    <t>006307202506120351</t>
  </si>
  <si>
    <t>006307202506120358</t>
  </si>
  <si>
    <t>006307202506120366</t>
  </si>
  <si>
    <t>006307202506120403</t>
  </si>
  <si>
    <t>006307202506120415</t>
  </si>
  <si>
    <t>006307202506120420</t>
  </si>
  <si>
    <t>006307202506120422</t>
  </si>
  <si>
    <t>006307202506120429</t>
  </si>
  <si>
    <t>006307202506120432</t>
  </si>
  <si>
    <t>006307202506120448</t>
  </si>
  <si>
    <t>006307202506120454</t>
  </si>
  <si>
    <t>006307202506120457</t>
  </si>
  <si>
    <t>006307202506120463</t>
  </si>
  <si>
    <t>006307202506120495</t>
  </si>
  <si>
    <t>006307202506120496</t>
  </si>
  <si>
    <t>006307202506120499</t>
  </si>
  <si>
    <t>006307202506120502</t>
  </si>
  <si>
    <t>006307202506120506</t>
  </si>
  <si>
    <t>006307202506120517</t>
  </si>
  <si>
    <t>006307202506120518</t>
  </si>
  <si>
    <t>006307202506130018</t>
  </si>
  <si>
    <t>006307202506130043</t>
  </si>
  <si>
    <t>006307202506130075</t>
  </si>
  <si>
    <t>006307202506130083</t>
  </si>
  <si>
    <t>006307202506130097</t>
  </si>
  <si>
    <t>006307202506130109</t>
  </si>
  <si>
    <t>006307202506130111</t>
  </si>
  <si>
    <t>006307202506130143</t>
  </si>
  <si>
    <t>006307202506130154</t>
  </si>
  <si>
    <t>006307202506130176</t>
  </si>
  <si>
    <t>006307202506130210</t>
  </si>
  <si>
    <t>006307202506130214</t>
  </si>
  <si>
    <t>006307202506130215</t>
  </si>
  <si>
    <t>006307202506140085</t>
  </si>
  <si>
    <t>006307202506210088</t>
  </si>
  <si>
    <t>006307202506220025</t>
  </si>
  <si>
    <t>006307202506220055</t>
  </si>
  <si>
    <t>006307202506220078</t>
  </si>
  <si>
    <t>006307202506220053</t>
  </si>
  <si>
    <t>006307202506230040</t>
  </si>
  <si>
    <t>006307202506230042</t>
  </si>
  <si>
    <t>006307202506230060</t>
  </si>
  <si>
    <t>006307202506240058</t>
  </si>
  <si>
    <t>006307202506240092</t>
  </si>
  <si>
    <t>006307202506240094</t>
  </si>
  <si>
    <t>006307202506240097</t>
  </si>
  <si>
    <t>006307202506260001</t>
  </si>
  <si>
    <t>006307202506260005</t>
  </si>
  <si>
    <t>006307202506260006</t>
  </si>
  <si>
    <t>006307202506260007</t>
  </si>
  <si>
    <t>006307202506260014</t>
  </si>
  <si>
    <t>006307202506260075</t>
  </si>
  <si>
    <t>006307202506260103</t>
  </si>
  <si>
    <t>006307202506260105</t>
  </si>
  <si>
    <t>006307202506260107</t>
  </si>
  <si>
    <t>006307202506270003</t>
  </si>
  <si>
    <t>006307202506270005</t>
  </si>
  <si>
    <t>006307202506270016</t>
  </si>
  <si>
    <t>006307202506270022</t>
  </si>
  <si>
    <t>006307202506270029</t>
  </si>
  <si>
    <t>006307202506270030</t>
  </si>
  <si>
    <t>006307202506270049</t>
  </si>
  <si>
    <t>006307202506270093</t>
  </si>
  <si>
    <t>006307202506270095</t>
  </si>
  <si>
    <t>006307202506270108</t>
  </si>
  <si>
    <t>006307202506260030</t>
  </si>
  <si>
    <t>006307202506270040</t>
  </si>
  <si>
    <t>006307202506270097</t>
  </si>
  <si>
    <t>006307202506270099</t>
  </si>
  <si>
    <t>006307202506270101</t>
  </si>
  <si>
    <t>006307202506270105</t>
  </si>
  <si>
    <t>006307202508160059</t>
  </si>
  <si>
    <t>006307202508160063</t>
  </si>
  <si>
    <t>006307202508160065</t>
  </si>
  <si>
    <t>006307202508170003</t>
  </si>
  <si>
    <t>006307202508170013</t>
  </si>
  <si>
    <t>006307202508180007</t>
  </si>
  <si>
    <t>006307202508220181</t>
  </si>
  <si>
    <t>006307202508220204</t>
  </si>
  <si>
    <t>006307202508230001</t>
  </si>
  <si>
    <t>006307202508230035</t>
  </si>
  <si>
    <t>006307202508230036</t>
  </si>
  <si>
    <t>006307202508230043</t>
  </si>
  <si>
    <t>006307202508230094</t>
  </si>
  <si>
    <t>006307202508230106</t>
  </si>
  <si>
    <t>006307202508230118</t>
  </si>
  <si>
    <t>006307202508230125</t>
  </si>
  <si>
    <t>006307202508240010</t>
  </si>
  <si>
    <t>006307202508240033</t>
  </si>
  <si>
    <t>006307202508240038</t>
  </si>
  <si>
    <t>006307202508240066</t>
  </si>
  <si>
    <t>006307202508250031</t>
  </si>
  <si>
    <t>006307202508260016</t>
  </si>
  <si>
    <t>006307202512040062</t>
  </si>
  <si>
    <t>006307202512040067</t>
  </si>
  <si>
    <t>006307202512040071</t>
  </si>
  <si>
    <t>006307202512050026</t>
  </si>
  <si>
    <t>006307202512060049</t>
  </si>
  <si>
    <t>006307202512060061</t>
  </si>
  <si>
    <t>006307202512060064</t>
  </si>
  <si>
    <t>006307202512060065</t>
  </si>
  <si>
    <t>006307202512060100</t>
  </si>
  <si>
    <t>006307202512060103</t>
  </si>
  <si>
    <t>006307202512060104</t>
  </si>
  <si>
    <t>006307202512060108</t>
  </si>
  <si>
    <t>006307202512070001</t>
  </si>
  <si>
    <t>006307202512070036</t>
  </si>
  <si>
    <t>006307202512070038</t>
  </si>
  <si>
    <t>006307202512070047</t>
  </si>
  <si>
    <t>006307202512070063</t>
  </si>
  <si>
    <t>006307202512070064</t>
  </si>
  <si>
    <t>006307202512070070</t>
  </si>
  <si>
    <t>006307202512070079</t>
  </si>
  <si>
    <t>006307202512070080</t>
  </si>
  <si>
    <t>006307202512070081</t>
  </si>
  <si>
    <t>006307202512070084</t>
  </si>
  <si>
    <t>006307202512070087</t>
  </si>
  <si>
    <t>006307202512070090</t>
  </si>
  <si>
    <t>006307202512080010</t>
  </si>
  <si>
    <t>006307202512080021</t>
  </si>
  <si>
    <t>006307202512080027</t>
  </si>
  <si>
    <t>006307202512080037</t>
  </si>
  <si>
    <t>006307202512080042</t>
  </si>
  <si>
    <t>006307202512080043</t>
  </si>
  <si>
    <t>006307202512080051</t>
  </si>
  <si>
    <t>006307202512080056</t>
  </si>
  <si>
    <t>006307202512080061</t>
  </si>
  <si>
    <t>006307202512080064</t>
  </si>
  <si>
    <t>006307202512080071</t>
  </si>
  <si>
    <t>006307202512080074</t>
  </si>
  <si>
    <t>006307202512080075</t>
  </si>
  <si>
    <t>006307202512080077</t>
  </si>
  <si>
    <t>006307202512080081</t>
  </si>
  <si>
    <t>006307202512090017</t>
  </si>
  <si>
    <t>006307202512090044</t>
  </si>
  <si>
    <t>006307202512090056</t>
  </si>
  <si>
    <t>006307202512090082</t>
  </si>
  <si>
    <t>006307202512090086</t>
  </si>
  <si>
    <t>006307202512090088</t>
  </si>
  <si>
    <t>006307202512090091</t>
  </si>
  <si>
    <t>006307202512150091</t>
  </si>
  <si>
    <t>006307202512160016</t>
  </si>
  <si>
    <t>006307202512160022</t>
  </si>
  <si>
    <t>006307202512160041</t>
  </si>
  <si>
    <t>006307202512160045</t>
  </si>
  <si>
    <t>006307202512160054</t>
  </si>
  <si>
    <t>006307202512160076</t>
  </si>
  <si>
    <t>006307202512160098</t>
  </si>
  <si>
    <t>006307202512160099</t>
  </si>
  <si>
    <t>006307202512170035</t>
  </si>
  <si>
    <t>006307202512170045</t>
  </si>
  <si>
    <t>006307202512170061</t>
  </si>
  <si>
    <t>006307202512170068</t>
  </si>
  <si>
    <t>006307202512180002</t>
  </si>
  <si>
    <t>006307202512290032</t>
  </si>
  <si>
    <t>006307202512290043</t>
  </si>
  <si>
    <t>006307202512290044</t>
  </si>
  <si>
    <t>006307202512290054</t>
  </si>
  <si>
    <t>006307202512290059</t>
  </si>
  <si>
    <t>006307202512290060</t>
  </si>
  <si>
    <t>006307202512290070</t>
  </si>
  <si>
    <t>006307202512300027</t>
  </si>
  <si>
    <t>006307202512300040</t>
  </si>
  <si>
    <t>006307202512300042</t>
  </si>
  <si>
    <t>006307202512300061</t>
  </si>
  <si>
    <t>006307202512300069</t>
  </si>
  <si>
    <t>006307202512300072</t>
  </si>
  <si>
    <t>006307202512300073</t>
  </si>
  <si>
    <t>006307202512300075</t>
  </si>
  <si>
    <t>006307202512310059</t>
  </si>
  <si>
    <t>006307202601040026</t>
  </si>
  <si>
    <t>006307202601040052</t>
  </si>
  <si>
    <t>006307202601070039</t>
  </si>
  <si>
    <t>006307202601080038</t>
  </si>
  <si>
    <t>006307202601080040</t>
  </si>
  <si>
    <t>006307202601080043</t>
  </si>
  <si>
    <t>006307202601080044</t>
  </si>
  <si>
    <t>006307202601080047</t>
  </si>
  <si>
    <t>006307202601080052</t>
  </si>
  <si>
    <t>006307202601080054</t>
  </si>
  <si>
    <t>006307202601080060</t>
  </si>
  <si>
    <t>006307202601080061</t>
  </si>
  <si>
    <t>006307202601080065</t>
  </si>
  <si>
    <t>006307202601080069</t>
  </si>
  <si>
    <t>006307202601080071</t>
  </si>
  <si>
    <t>006307202601080073</t>
  </si>
  <si>
    <t>006307202601080074</t>
  </si>
  <si>
    <t>006307202601080075</t>
  </si>
  <si>
    <t>006307202601080077</t>
  </si>
  <si>
    <t>006307202601080078</t>
  </si>
  <si>
    <t>006307202601080083</t>
  </si>
  <si>
    <t>006307202601080089</t>
  </si>
  <si>
    <t>006307202601080090</t>
  </si>
  <si>
    <t>006307202601080091</t>
  </si>
  <si>
    <t>006307202601080092</t>
  </si>
  <si>
    <t>006307202601080095</t>
  </si>
  <si>
    <t>006307202601080099</t>
  </si>
  <si>
    <t>006307202601080103</t>
  </si>
  <si>
    <t>006307202601080105</t>
  </si>
  <si>
    <t>006307202601080110</t>
  </si>
  <si>
    <t>006307202601080111</t>
  </si>
  <si>
    <t>006307202601080115</t>
  </si>
  <si>
    <t>006307202601080118</t>
  </si>
  <si>
    <t>006307202601080119</t>
  </si>
  <si>
    <t>006307202601080122</t>
  </si>
  <si>
    <t>006307202601080123</t>
  </si>
  <si>
    <t>006307202601080124</t>
  </si>
  <si>
    <t>006307202601080127</t>
  </si>
  <si>
    <t>006307202601080129</t>
  </si>
  <si>
    <t>006307202601080131</t>
  </si>
  <si>
    <t>006307202601080133</t>
  </si>
  <si>
    <t>006307202601080135</t>
  </si>
  <si>
    <t>006307202601080139</t>
  </si>
  <si>
    <t>006307202601090002</t>
  </si>
  <si>
    <t>006307202601090012</t>
  </si>
  <si>
    <t>006307202601090029</t>
  </si>
  <si>
    <t>006307202601090044</t>
  </si>
  <si>
    <t>006307202601090047</t>
  </si>
  <si>
    <t>006307202601090050</t>
  </si>
  <si>
    <t>006307202601090065</t>
  </si>
  <si>
    <t>006307202601090070</t>
  </si>
  <si>
    <t>006307202601090076</t>
  </si>
  <si>
    <t>006307202601090080</t>
  </si>
  <si>
    <t>006307202601090081</t>
  </si>
  <si>
    <t>006307202601090085</t>
  </si>
  <si>
    <t>006307202601100028</t>
  </si>
  <si>
    <t>006307202601100039</t>
  </si>
  <si>
    <t>006307202601100058</t>
  </si>
  <si>
    <t>006307202601190077</t>
  </si>
  <si>
    <t>006307202601290008</t>
  </si>
  <si>
    <t>006307202601290051</t>
  </si>
  <si>
    <t>006307202601290064</t>
  </si>
  <si>
    <t>006307202601290073</t>
  </si>
  <si>
    <t>006307202601300010</t>
  </si>
  <si>
    <t>006307202601300040</t>
  </si>
  <si>
    <t>006307202601080125</t>
  </si>
  <si>
    <t>006307202601080132</t>
  </si>
  <si>
    <t>006307202601090028</t>
  </si>
  <si>
    <t>006307202601090071</t>
  </si>
  <si>
    <t>006307202601090091</t>
  </si>
  <si>
    <t>006307202601100042</t>
  </si>
  <si>
    <t>006307202601100057</t>
  </si>
  <si>
    <t>006307202601100059</t>
  </si>
  <si>
    <t>006307202601100060</t>
  </si>
  <si>
    <t>006307202601080112</t>
  </si>
  <si>
    <t>006307202601090043</t>
  </si>
  <si>
    <t>006307202601090094</t>
  </si>
  <si>
    <t>006307202601030052</t>
  </si>
  <si>
    <t>006307202601050003</t>
  </si>
  <si>
    <t>006307202601050033</t>
  </si>
  <si>
    <t>006307202601050034</t>
  </si>
  <si>
    <t>006307202601050036</t>
  </si>
  <si>
    <t>006307202601050040</t>
  </si>
  <si>
    <t>006307202601050049</t>
  </si>
  <si>
    <t>006307202601050054</t>
  </si>
  <si>
    <t>006307202601050060</t>
  </si>
  <si>
    <t>006307202601050067</t>
  </si>
  <si>
    <t>006307202601050074</t>
  </si>
  <si>
    <t>006307202601050076</t>
  </si>
  <si>
    <t>006307202601050077</t>
  </si>
  <si>
    <t>006307202601050086</t>
  </si>
  <si>
    <t>006307202601050088</t>
  </si>
  <si>
    <t>006307202601050089</t>
  </si>
  <si>
    <t>006307202601050091</t>
  </si>
  <si>
    <t>006307202601050092</t>
  </si>
  <si>
    <t>006307202601060001</t>
  </si>
  <si>
    <t>006307202601060017</t>
  </si>
  <si>
    <t>006307202601060040</t>
  </si>
  <si>
    <t>006307202601060061</t>
  </si>
  <si>
    <t>006307202601060062</t>
  </si>
  <si>
    <t>006307202601060067</t>
  </si>
  <si>
    <t>006307202601060069</t>
  </si>
  <si>
    <t>006307202601060070</t>
  </si>
  <si>
    <t>006307202601070026</t>
  </si>
  <si>
    <t>006307202601070071</t>
  </si>
  <si>
    <t>006307202601070073</t>
  </si>
  <si>
    <t>006307202601070074</t>
  </si>
  <si>
    <t>006307202601070075</t>
  </si>
  <si>
    <t>006307202601070077</t>
  </si>
  <si>
    <t>006307202601300005</t>
  </si>
  <si>
    <t>006307202601300006</t>
  </si>
  <si>
    <t>006307202601300012</t>
  </si>
  <si>
    <t>006307202601300028</t>
  </si>
  <si>
    <t>006307202601310017</t>
  </si>
  <si>
    <t>006307202601030026</t>
  </si>
  <si>
    <t>006307202601030030</t>
  </si>
  <si>
    <t>006307202601030049</t>
  </si>
  <si>
    <t>006307202601040009</t>
  </si>
  <si>
    <t>006307202601040029</t>
  </si>
  <si>
    <t>006307202601040047</t>
  </si>
  <si>
    <t>006307202601040049</t>
  </si>
  <si>
    <t>006307202601040054</t>
  </si>
  <si>
    <t>006307202601050050</t>
  </si>
  <si>
    <t>006307202601050059</t>
  </si>
  <si>
    <t>006307202601050087</t>
  </si>
  <si>
    <t>006307202601060030</t>
  </si>
  <si>
    <t>006307202601060064</t>
  </si>
  <si>
    <t>006307202601070006</t>
  </si>
  <si>
    <t>006307202601070087</t>
  </si>
  <si>
    <t>006307202601040032</t>
  </si>
  <si>
    <t>006307202601040041</t>
  </si>
  <si>
    <t>006307202601050038</t>
  </si>
  <si>
    <t>006307202601050041</t>
  </si>
  <si>
    <t>006307202601050046</t>
  </si>
  <si>
    <t>006307202601050055</t>
  </si>
  <si>
    <t>006307202601050063</t>
  </si>
  <si>
    <t>006307202601050064</t>
  </si>
  <si>
    <t>006307202601050084</t>
  </si>
  <si>
    <t>006307202601060014</t>
  </si>
  <si>
    <t>006307202601270059</t>
  </si>
  <si>
    <t>006307202601290052</t>
  </si>
  <si>
    <t>006307202601150029</t>
  </si>
  <si>
    <t>006307202601150030</t>
  </si>
  <si>
    <t>006307202601150038</t>
  </si>
  <si>
    <t>006307202601150039</t>
  </si>
  <si>
    <t>006307202601150058</t>
  </si>
  <si>
    <t>006307202601160042</t>
  </si>
  <si>
    <t>006307202601170004</t>
  </si>
  <si>
    <t>006307202601280009</t>
  </si>
  <si>
    <t>006307202601280059</t>
  </si>
  <si>
    <t>006307202601290021</t>
  </si>
  <si>
    <t>006307202601290030</t>
  </si>
  <si>
    <t>006307202601290060</t>
  </si>
  <si>
    <t>006307202601070044</t>
  </si>
  <si>
    <t>006307202601080128</t>
  </si>
  <si>
    <t>006307202601080130</t>
  </si>
  <si>
    <t>006307202601210018</t>
  </si>
  <si>
    <t>006307202601080107</t>
  </si>
  <si>
    <t>006307202601080108</t>
  </si>
  <si>
    <t>006307202601080113</t>
  </si>
  <si>
    <t>006307202601080116</t>
  </si>
  <si>
    <t>006307202601080120</t>
  </si>
  <si>
    <t>006307202601090041</t>
  </si>
  <si>
    <t>006307202601090057</t>
  </si>
  <si>
    <t>006307202601090093</t>
  </si>
  <si>
    <t>006307202601100014</t>
  </si>
  <si>
    <t>006307202602020011</t>
  </si>
  <si>
    <t>006307202602020017</t>
  </si>
  <si>
    <t>006307202602020029</t>
  </si>
  <si>
    <t>006307202602020048</t>
  </si>
  <si>
    <t>006307202602020052</t>
  </si>
  <si>
    <t>006307202602020057</t>
  </si>
  <si>
    <t>006307202602020066</t>
  </si>
  <si>
    <t>006307202602020072</t>
  </si>
  <si>
    <t>006307202602020079</t>
  </si>
  <si>
    <t>006307202602020080</t>
  </si>
  <si>
    <t>006307202602020081</t>
  </si>
  <si>
    <t>006307202602030054</t>
  </si>
  <si>
    <t>006307202602040001</t>
  </si>
  <si>
    <t>006307202602100081</t>
  </si>
  <si>
    <t>006307202602100089</t>
  </si>
  <si>
    <t>006307202602110004</t>
  </si>
  <si>
    <t>006307202602110032</t>
  </si>
  <si>
    <t>006307202602110044</t>
  </si>
  <si>
    <t>006307202602110055</t>
  </si>
  <si>
    <t>006307202602110060</t>
  </si>
  <si>
    <t>006307202602110064</t>
  </si>
  <si>
    <t>006307202602110066</t>
  </si>
  <si>
    <t>006307202602110068</t>
  </si>
  <si>
    <t>006307202602110073</t>
  </si>
  <si>
    <t>006307202602110088</t>
  </si>
  <si>
    <t>006307202602110089</t>
  </si>
  <si>
    <t>006307202602110092</t>
  </si>
  <si>
    <t>006307202602110094</t>
  </si>
  <si>
    <t>006307202602110106</t>
  </si>
  <si>
    <t>006307202602110107</t>
  </si>
  <si>
    <t>006307202602110109</t>
  </si>
  <si>
    <t>006307202602120004</t>
  </si>
  <si>
    <t>006307202602120020</t>
  </si>
  <si>
    <t>006307202602120022</t>
  </si>
  <si>
    <t>006307202602120028</t>
  </si>
  <si>
    <t>006307202602120031</t>
  </si>
  <si>
    <t>006307202602120037</t>
  </si>
  <si>
    <t>006307202602120041</t>
  </si>
  <si>
    <t>006307202602120042</t>
  </si>
  <si>
    <t>006307202602120044</t>
  </si>
  <si>
    <t>006307202602120045</t>
  </si>
  <si>
    <t>006307202602120053</t>
  </si>
  <si>
    <t>006307202602120065</t>
  </si>
  <si>
    <t>006307202602120070</t>
  </si>
  <si>
    <t>006307202602120072</t>
  </si>
  <si>
    <t>006307202602120077</t>
  </si>
  <si>
    <t>006307202602120080</t>
  </si>
  <si>
    <t>006307202602130001</t>
  </si>
  <si>
    <t>006307202602130002</t>
  </si>
  <si>
    <t>006307202602130005</t>
  </si>
  <si>
    <t>006307202602130010</t>
  </si>
  <si>
    <t>006307202602130013</t>
  </si>
  <si>
    <t>006307202602130026</t>
  </si>
  <si>
    <t>006307202602130031</t>
  </si>
  <si>
    <t>006307202602130043</t>
  </si>
  <si>
    <t>006307202602130050</t>
  </si>
  <si>
    <t>006307202602130051</t>
  </si>
  <si>
    <t>006307202602130059</t>
  </si>
  <si>
    <t>006307202602130069</t>
  </si>
  <si>
    <t>006307202602130075</t>
  </si>
  <si>
    <t>006307202602130083</t>
  </si>
  <si>
    <t>006307202602140004</t>
  </si>
  <si>
    <t>006307202602140038</t>
  </si>
  <si>
    <t>006307202602140042</t>
  </si>
  <si>
    <t>006307202602140043</t>
  </si>
  <si>
    <t>006307202602140056</t>
  </si>
  <si>
    <t>006307202602140059</t>
  </si>
  <si>
    <t>006307202602140060</t>
  </si>
  <si>
    <t>006307202602150018</t>
  </si>
  <si>
    <t>006307202602150022</t>
  </si>
  <si>
    <t>006307202602150024</t>
  </si>
  <si>
    <t>006307202602270011</t>
  </si>
  <si>
    <t>006307202602270045</t>
  </si>
  <si>
    <t>006307202602270049</t>
  </si>
  <si>
    <t>006307202602280010</t>
  </si>
  <si>
    <t>006307202602280016</t>
  </si>
  <si>
    <t>006307202602280021</t>
  </si>
  <si>
    <t>006307202602280040</t>
  </si>
  <si>
    <t>006307202602280043</t>
  </si>
  <si>
    <t>nombre comuna</t>
  </si>
  <si>
    <t>id comuna</t>
  </si>
  <si>
    <t>clientes</t>
  </si>
  <si>
    <t>Densidad</t>
  </si>
  <si>
    <t>Valparaíso</t>
  </si>
  <si>
    <t>Alta</t>
  </si>
  <si>
    <t>Casablanca</t>
  </si>
  <si>
    <t>Extremadamente Baja</t>
  </si>
  <si>
    <t>Concón</t>
  </si>
  <si>
    <t>Media</t>
  </si>
  <si>
    <t>Puchuncaví</t>
  </si>
  <si>
    <t>Baja</t>
  </si>
  <si>
    <t>Quintero</t>
  </si>
  <si>
    <t>Viña del Mar</t>
  </si>
  <si>
    <t>Los Andes</t>
  </si>
  <si>
    <t>Calle Larga</t>
  </si>
  <si>
    <t>Rinconada</t>
  </si>
  <si>
    <t>Muy Baja</t>
  </si>
  <si>
    <t>San Esteban</t>
  </si>
  <si>
    <t>Quillota</t>
  </si>
  <si>
    <t>Calera</t>
  </si>
  <si>
    <t>Hijuelas</t>
  </si>
  <si>
    <t>La Cruz</t>
  </si>
  <si>
    <t>Nogales</t>
  </si>
  <si>
    <t>San Antonio</t>
  </si>
  <si>
    <t>Cartagena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</si>
  <si>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</si>
  <si>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</si>
  <si>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</si>
  <si>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</si>
  <si>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</si>
  <si>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</si>
  <si>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</si>
  <si>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</si>
  <si>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</si>
  <si>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</si>
  <si>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</si>
  <si>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</si>
  <si>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006307202603010012</t>
  </si>
  <si>
    <t>006307202603010013</t>
  </si>
  <si>
    <t>006307202603010016</t>
  </si>
  <si>
    <t>006307202603010314</t>
  </si>
  <si>
    <t>006307202603010315</t>
  </si>
  <si>
    <t>006307202603010317</t>
  </si>
  <si>
    <t>006307202603010318</t>
  </si>
  <si>
    <t>006307202603010319</t>
  </si>
  <si>
    <t>006307202603010474</t>
  </si>
  <si>
    <t>006307202603010475</t>
  </si>
  <si>
    <t>006307202603010476</t>
  </si>
  <si>
    <t>006307202603010477</t>
  </si>
  <si>
    <t>006307202603010479</t>
  </si>
  <si>
    <t>006307202603010481</t>
  </si>
  <si>
    <t>006307202603010482</t>
  </si>
  <si>
    <t>006307202603010483</t>
  </si>
  <si>
    <t>006307202603010485</t>
  </si>
  <si>
    <t>006307202603010486</t>
  </si>
  <si>
    <t>006307202603010487</t>
  </si>
  <si>
    <t>006307202603010488</t>
  </si>
  <si>
    <t>006307202603010489</t>
  </si>
  <si>
    <t>006307202603010490</t>
  </si>
  <si>
    <t>006307202603010492</t>
  </si>
  <si>
    <t>006307202603010493</t>
  </si>
  <si>
    <t>006307202603010494</t>
  </si>
  <si>
    <t>006307202603010495</t>
  </si>
  <si>
    <t>006307202603010496</t>
  </si>
  <si>
    <t>006307202603010497</t>
  </si>
  <si>
    <t>006307202603010498</t>
  </si>
  <si>
    <t>006307202603010499</t>
  </si>
  <si>
    <t>006307202603010500</t>
  </si>
  <si>
    <t>006307202603010502</t>
  </si>
  <si>
    <t>006307202603010503</t>
  </si>
  <si>
    <t>006307202603010504</t>
  </si>
  <si>
    <t>006307202603010505</t>
  </si>
  <si>
    <t>006307202603010506</t>
  </si>
  <si>
    <t>006307202603010507</t>
  </si>
  <si>
    <t>006307202603010508</t>
  </si>
  <si>
    <t>006307202603010509</t>
  </si>
  <si>
    <t>006307202603010510</t>
  </si>
  <si>
    <t>006307202603010562</t>
  </si>
  <si>
    <t>006307202603010563</t>
  </si>
  <si>
    <t>006307202603010564</t>
  </si>
  <si>
    <t>006307202603010565</t>
  </si>
  <si>
    <t>006307202603010566</t>
  </si>
  <si>
    <t>006307202603010567</t>
  </si>
  <si>
    <t>006307202603010576</t>
  </si>
  <si>
    <t>006307202603020008</t>
  </si>
  <si>
    <t>006307202603020015</t>
  </si>
  <si>
    <t>006307202603020020</t>
  </si>
  <si>
    <t>006307202603020034</t>
  </si>
  <si>
    <t>006307202603020035</t>
  </si>
  <si>
    <t>006307202603070064</t>
  </si>
  <si>
    <t>006307202603080027</t>
  </si>
  <si>
    <t>006307202603080028</t>
  </si>
  <si>
    <t>006307202603080037</t>
  </si>
  <si>
    <t>006307202603090001</t>
  </si>
  <si>
    <t>006307202603090007</t>
  </si>
  <si>
    <t>006307202603090018</t>
  </si>
  <si>
    <t>006307202603090021</t>
  </si>
  <si>
    <t>006307202603090024</t>
  </si>
  <si>
    <t>006307202603090029</t>
  </si>
  <si>
    <t>006307202603090030</t>
  </si>
  <si>
    <t>006307202603090031</t>
  </si>
  <si>
    <t>006307202603090039</t>
  </si>
  <si>
    <t>006307202603090040</t>
  </si>
  <si>
    <t>006307202603090046</t>
  </si>
  <si>
    <t>006307202603090048</t>
  </si>
  <si>
    <t>006307202603090051</t>
  </si>
  <si>
    <t>006307202603090052</t>
  </si>
  <si>
    <t>006307202603090053</t>
  </si>
  <si>
    <t>006307202603100002</t>
  </si>
  <si>
    <t>006307202603100003</t>
  </si>
  <si>
    <t>006307202603100005</t>
  </si>
  <si>
    <t>006307202603100014</t>
  </si>
  <si>
    <t>006307202603100015</t>
  </si>
  <si>
    <t>006307202603100016</t>
  </si>
  <si>
    <t>006307202603100017</t>
  </si>
  <si>
    <t>006307202603100019</t>
  </si>
  <si>
    <t>006307202603100020</t>
  </si>
  <si>
    <t>006307202603100024</t>
  </si>
  <si>
    <t>006307202603100025</t>
  </si>
  <si>
    <t>006307202603100031</t>
  </si>
  <si>
    <t>006307202603100038</t>
  </si>
  <si>
    <t>006307202603100042</t>
  </si>
  <si>
    <t>006307202603160044</t>
  </si>
  <si>
    <t>006307202603160058</t>
  </si>
  <si>
    <t>006307202603160059</t>
  </si>
  <si>
    <t>006307202603160061</t>
  </si>
  <si>
    <t>006307202603160062</t>
  </si>
  <si>
    <t>006307202603160063</t>
  </si>
  <si>
    <t>006307202603170034</t>
  </si>
  <si>
    <t>006307202603170046</t>
  </si>
  <si>
    <t>006307202603190033</t>
  </si>
  <si>
    <t>006307202603200125</t>
  </si>
  <si>
    <t>006307202603200132</t>
  </si>
  <si>
    <t>006307202603200139</t>
  </si>
  <si>
    <t>006307202603200144</t>
  </si>
  <si>
    <t>006307202603200145</t>
  </si>
  <si>
    <t>006307202603200155</t>
  </si>
  <si>
    <t>006307202603200156</t>
  </si>
  <si>
    <t>006307202603200172</t>
  </si>
  <si>
    <t>006307202603200188</t>
  </si>
  <si>
    <t>006307202603210012</t>
  </si>
  <si>
    <t>006307202603210013</t>
  </si>
  <si>
    <t>006307202603210021</t>
  </si>
  <si>
    <t>006307202603210025</t>
  </si>
  <si>
    <t>006307202603210035</t>
  </si>
  <si>
    <t>006307202603210064</t>
  </si>
  <si>
    <t>006307202603210069</t>
  </si>
  <si>
    <t>006307202603210095</t>
  </si>
  <si>
    <t>006307202603210107</t>
  </si>
  <si>
    <t>006307202603210128</t>
  </si>
  <si>
    <t>006307202603220001</t>
  </si>
  <si>
    <t>006307202603220002</t>
  </si>
  <si>
    <t>006307202603220005</t>
  </si>
  <si>
    <t>006307202603220036</t>
  </si>
  <si>
    <t>006307202603220057</t>
  </si>
  <si>
    <t>006307202603220064</t>
  </si>
  <si>
    <t>006307202603230065</t>
  </si>
  <si>
    <t>006307202603230069</t>
  </si>
  <si>
    <t>006307202603240024</t>
  </si>
  <si>
    <t>006307202603240037</t>
  </si>
  <si>
    <t>006307202603240044</t>
  </si>
  <si>
    <t>006307202603240052</t>
  </si>
  <si>
    <t>006307202603240058</t>
  </si>
  <si>
    <t>006307202603240066</t>
  </si>
  <si>
    <t>006307202603240067</t>
  </si>
  <si>
    <t>006307202603240068</t>
  </si>
  <si>
    <t>006307202603240070</t>
  </si>
  <si>
    <t>006307202603240079</t>
  </si>
  <si>
    <t>006307202603250002</t>
  </si>
  <si>
    <t>006307202603250018</t>
  </si>
  <si>
    <t>006307202603250021</t>
  </si>
  <si>
    <t>006307202603260001</t>
  </si>
  <si>
    <t>006307202603260026</t>
  </si>
  <si>
    <t>006307202603260031</t>
  </si>
  <si>
    <t>006307202603260038</t>
  </si>
  <si>
    <t>006307202603260045</t>
  </si>
  <si>
    <t>006307202603260052</t>
  </si>
  <si>
    <t>006307202603270021</t>
  </si>
  <si>
    <t>006307202603270043</t>
  </si>
  <si>
    <t>006307202603280002</t>
  </si>
  <si>
    <t>006307202603280012</t>
  </si>
  <si>
    <t>006307202603280027</t>
  </si>
  <si>
    <t>006307202603280029</t>
  </si>
  <si>
    <t>006307202603280033</t>
  </si>
  <si>
    <t>006307202603280034</t>
  </si>
  <si>
    <t>006307202603280037</t>
  </si>
  <si>
    <t>006307202603290013</t>
  </si>
  <si>
    <t>006307202603290014</t>
  </si>
  <si>
    <t>006307202603290017</t>
  </si>
  <si>
    <t>006307202603290022</t>
  </si>
  <si>
    <t>006307202603290033</t>
  </si>
  <si>
    <t>006307202603290035</t>
  </si>
  <si>
    <t>006307202603290036</t>
  </si>
  <si>
    <t>006307202603300001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</si>
</sst>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164" formatCode="_-* #,##0_-;\-* #,##0_-;_-* &quot;-&quot;_-;_-@_-"/>
    <numFmt numFmtId="165" formatCode="_-* #,##0.00_-;\-* #,##0.00_-;_-* &quot;-&quot;??_-;_-@_-"/>
    <numFmt numFmtId="166" formatCode="_-&quot;$&quot;\ * #,##0.00_-;\-&quot;$&quot;\ * #,##0.00_-;_-&quot;$&quot;\ * &quot;-&quot;??_-;_-@_-"/>
    <numFmt numFmtId="167" formatCode="_-* #,##0.00\ [$€]_-;\-* #,##0.00\ [$€]_-;_-* &quot;-&quot;??\ [$€]_-;_-@_-"/>
  </numFmts>
  <fonts count="25">
    <font>
      <sz val="11"/>
      <color theme="1"/>
      <name val="Calibri"/>
      <family val="2"/>
      <scheme val="minor"/>
    </font>
    <font>
      <sz val="9"/>
      <name val="Microsoft Sans Serif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MS Sans Serif"/>
      <family val="2"/>
    </font>
    <font>
      <sz val="10"/>
      <name val="MS Sans Serif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11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793">
    <xf numFmtId="0" fontId="0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4" applyNumberFormat="0" applyAlignment="0" applyProtection="0"/>
    <xf numFmtId="0" fontId="9" fillId="7" borderId="5" applyNumberFormat="0" applyAlignment="0" applyProtection="0"/>
    <xf numFmtId="0" fontId="10" fillId="7" borderId="4" applyNumberFormat="0" applyAlignment="0" applyProtection="0"/>
    <xf numFmtId="0" fontId="11" fillId="0" borderId="6" applyNumberFormat="0" applyFill="0" applyAlignment="0" applyProtection="0"/>
    <xf numFmtId="0" fontId="12" fillId="8" borderId="7" applyNumberFormat="0" applyAlignment="0" applyProtection="0"/>
    <xf numFmtId="0" fontId="13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1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22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7" fillId="0" borderId="0"/>
    <xf numFmtId="0" fontId="17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23" fillId="0" borderId="0"/>
    <xf numFmtId="0" fontId="1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2" fillId="0" borderId="0"/>
    <xf numFmtId="0" fontId="2" fillId="9" borderId="8" applyNumberFormat="0" applyFont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2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1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2" fillId="0" borderId="0"/>
    <xf numFmtId="0" fontId="17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2" fillId="0" borderId="0" applyNumberFormat="0" applyFill="0" applyBorder="0" applyAlignment="0" applyProtection="0"/>
    <xf numFmtId="0" fontId="17" fillId="0" borderId="0"/>
    <xf numFmtId="0" fontId="20" fillId="0" borderId="0"/>
    <xf numFmtId="0" fontId="17" fillId="0" borderId="0"/>
    <xf numFmtId="0" fontId="23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23" fillId="0" borderId="0"/>
    <xf numFmtId="0" fontId="2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17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7" fillId="0" borderId="0"/>
    <xf numFmtId="0" fontId="18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" fillId="0" borderId="0"/>
    <xf numFmtId="42" fontId="2" fillId="0" borderId="0" applyFont="0" applyFill="0" applyBorder="0" applyAlignment="0" applyProtection="0"/>
    <xf numFmtId="0" fontId="1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2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2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2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5" fillId="34" borderId="10" xfId="0" applyFont="1" applyFill="1" applyBorder="1"/>
    <xf numFmtId="0" fontId="15" fillId="34" borderId="10" xfId="0" applyFont="1" applyFill="1" applyBorder="1" applyAlignment="1">
      <alignment horizontal="center"/>
    </xf>
    <xf numFmtId="0" fontId="15" fillId="34" borderId="0" xfId="0" applyFont="1" applyFill="1" applyAlignment="1">
      <alignment horizontal="center"/>
    </xf>
    <xf numFmtId="0" fontId="24" fillId="0" borderId="0" xfId="0" applyFont="1"/>
    <xf numFmtId="22" fontId="24" fillId="0" borderId="0" xfId="0" applyNumberFormat="1" applyFont="1"/>
    <xf numFmtId="49" fontId="0" fillId="0" borderId="0" xfId="0" applyNumberFormat="1"/>
    <xf numFmtId="22" fontId="0" fillId="0" borderId="0" xfId="0" applyNumberFormat="1"/>
    <xf numFmtId="0" fontId="0" fillId="2" borderId="0" xfId="0" applyFill="1"/>
  </cellXfs>
  <cellStyles count="793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671" xr:uid="{00000000-0005-0000-0000-000077020000}"/>
    <cellStyle name="60% - Énfasis1 3" xfId="71" xr:uid="{00000000-0005-0000-0000-000030000000}"/>
    <cellStyle name="60% - Énfasis2 2" xfId="672" xr:uid="{00000000-0005-0000-0000-000078020000}"/>
    <cellStyle name="60% - Énfasis2 3" xfId="72" xr:uid="{00000000-0005-0000-0000-000032000000}"/>
    <cellStyle name="60% - Énfasis3 2" xfId="673" xr:uid="{00000000-0005-0000-0000-000079020000}"/>
    <cellStyle name="60% - Énfasis3 3" xfId="73" xr:uid="{00000000-0005-0000-0000-000034000000}"/>
    <cellStyle name="60% - Énfasis4 2" xfId="674" xr:uid="{00000000-0005-0000-0000-00007A020000}"/>
    <cellStyle name="60% - Énfasis4 3" xfId="74" xr:uid="{00000000-0005-0000-0000-000036000000}"/>
    <cellStyle name="60% - Énfasis5 2" xfId="675" xr:uid="{00000000-0005-0000-0000-00007B020000}"/>
    <cellStyle name="60% - Énfasis5 3" xfId="75" xr:uid="{00000000-0005-0000-0000-000038000000}"/>
    <cellStyle name="60% - Énfasis6 2" xfId="676" xr:uid="{00000000-0005-0000-0000-00007C020000}"/>
    <cellStyle name="60% - Énfasis6 3" xfId="76" xr:uid="{00000000-0005-0000-0000-00003A000000}"/>
    <cellStyle name="A3 297 x 420 mm" xfId="36" xr:uid="{00000000-0005-0000-0000-000012000000}"/>
    <cellStyle name="A3 297 x 420 mm 2" xfId="52" xr:uid="{00000000-0005-0000-0000-000013000000}"/>
    <cellStyle name="A3 297 x 420 mm 2 2" xfId="78" xr:uid="{00000000-0005-0000-0000-000014000000}"/>
    <cellStyle name="A3 297 x 420 mm 3" xfId="79" xr:uid="{00000000-0005-0000-0000-000015000000}"/>
    <cellStyle name="A3 297 x 420 mm_Desconexiones programadas" xfId="80" xr:uid="{00000000-0005-0000-0000-00001600000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Euro" xfId="81" xr:uid="{00000000-0005-0000-0000-000024000000}"/>
    <cellStyle name="Euro 2" xfId="82" xr:uid="{00000000-0005-0000-0000-000025000000}"/>
    <cellStyle name="Euro 2 2" xfId="83" xr:uid="{00000000-0005-0000-0000-000026000000}"/>
    <cellStyle name="Euro 3" xfId="84" xr:uid="{00000000-0005-0000-0000-000027000000}"/>
    <cellStyle name="Euro 3 2" xfId="85" xr:uid="{00000000-0005-0000-0000-000028000000}"/>
    <cellStyle name="Incorrecto" xfId="7" builtinId="27" customBuiltin="1"/>
    <cellStyle name="Millares [0] 2" xfId="86" xr:uid="{00000000-0005-0000-0000-00002A000000}"/>
    <cellStyle name="Millares [0] 2 2" xfId="87" xr:uid="{00000000-0005-0000-0000-00002B000000}"/>
    <cellStyle name="Millares [0] 2 2 2" xfId="721" xr:uid="{00000000-0005-0000-0000-00002C000000}"/>
    <cellStyle name="Millares [0] 2 2 2 2" xfId="732" xr:uid="{00000000-0005-0000-0000-00002D000000}"/>
    <cellStyle name="Millares [0] 2 2 3" xfId="712" xr:uid="{00000000-0005-0000-0000-00002E000000}"/>
    <cellStyle name="Millares [0] 2 2 3 2" xfId="729" xr:uid="{00000000-0005-0000-0000-00002F000000}"/>
    <cellStyle name="Millares [0] 2 2 4" xfId="727" xr:uid="{00000000-0005-0000-0000-000030000000}"/>
    <cellStyle name="Millares [0] 2 3" xfId="720" xr:uid="{00000000-0005-0000-0000-000031000000}"/>
    <cellStyle name="Millares [0] 2 3 2" xfId="731" xr:uid="{00000000-0005-0000-0000-000032000000}"/>
    <cellStyle name="Millares [0] 2 4" xfId="711" xr:uid="{00000000-0005-0000-0000-000033000000}"/>
    <cellStyle name="Millares [0] 2 4 2" xfId="728" xr:uid="{00000000-0005-0000-0000-000034000000}"/>
    <cellStyle name="Millares [0] 2 5" xfId="726" xr:uid="{00000000-0005-0000-0000-000035000000}"/>
    <cellStyle name="Millares 2" xfId="163" xr:uid="{00000000-0005-0000-0000-00002C000000}"/>
    <cellStyle name="Millares 2 10" xfId="219" xr:uid="{00000000-0005-0000-0000-00002D000000}"/>
    <cellStyle name="Millares 2 10 2" xfId="292" xr:uid="{00000000-0005-0000-0000-00002E000000}"/>
    <cellStyle name="Millares 2 10 2 2" xfId="529" xr:uid="{00000000-0005-0000-0000-000005000000}"/>
    <cellStyle name="Millares 2 10 2 3" xfId="645" xr:uid="{00000000-0005-0000-0000-000006000000}"/>
    <cellStyle name="Millares 2 10 3" xfId="479" xr:uid="{00000000-0005-0000-0000-000007000000}"/>
    <cellStyle name="Millares 2 10 4" xfId="570" xr:uid="{00000000-0005-0000-0000-000008000000}"/>
    <cellStyle name="Millares 2 11" xfId="244" xr:uid="{00000000-0005-0000-0000-00002F000000}"/>
    <cellStyle name="Millares 2 11 2" xfId="326" xr:uid="{00000000-0005-0000-0000-000030000000}"/>
    <cellStyle name="Millares 2 11 3" xfId="595" xr:uid="{00000000-0005-0000-0000-00000B000000}"/>
    <cellStyle name="Millares 2 12" xfId="360" xr:uid="{00000000-0005-0000-0000-000031000000}"/>
    <cellStyle name="Millares 2 13" xfId="395" xr:uid="{00000000-0005-0000-0000-000032000000}"/>
    <cellStyle name="Millares 2 14" xfId="269" xr:uid="{00000000-0005-0000-0000-000033000000}"/>
    <cellStyle name="Millares 2 15" xfId="432" xr:uid="{00000000-0005-0000-0000-000034000000}"/>
    <cellStyle name="Millares 2 2" xfId="164" xr:uid="{00000000-0005-0000-0000-000035000000}"/>
    <cellStyle name="Millares 2 2 10" xfId="245" xr:uid="{00000000-0005-0000-0000-000036000000}"/>
    <cellStyle name="Millares 2 2 10 2" xfId="328" xr:uid="{00000000-0005-0000-0000-000037000000}"/>
    <cellStyle name="Millares 2 2 10 3" xfId="596" xr:uid="{00000000-0005-0000-0000-000011000000}"/>
    <cellStyle name="Millares 2 2 11" xfId="362" xr:uid="{00000000-0005-0000-0000-000038000000}"/>
    <cellStyle name="Millares 2 2 12" xfId="397" xr:uid="{00000000-0005-0000-0000-000039000000}"/>
    <cellStyle name="Millares 2 2 13" xfId="270" xr:uid="{00000000-0005-0000-0000-00003A000000}"/>
    <cellStyle name="Millares 2 2 14" xfId="433" xr:uid="{00000000-0005-0000-0000-00003B000000}"/>
    <cellStyle name="Millares 2 2 2" xfId="172" xr:uid="{00000000-0005-0000-0000-00003C000000}"/>
    <cellStyle name="Millares 2 2 2 10" xfId="437" xr:uid="{00000000-0005-0000-0000-00003D000000}"/>
    <cellStyle name="Millares 2 2 2 2" xfId="178" xr:uid="{00000000-0005-0000-0000-00003E000000}"/>
    <cellStyle name="Millares 2 2 2 2 2" xfId="205" xr:uid="{00000000-0005-0000-0000-00003F000000}"/>
    <cellStyle name="Millares 2 2 2 2 2 2" xfId="312" xr:uid="{00000000-0005-0000-0000-000040000000}"/>
    <cellStyle name="Millares 2 2 2 2 2 2 2" xfId="515" xr:uid="{00000000-0005-0000-0000-000018000000}"/>
    <cellStyle name="Millares 2 2 2 2 2 2 3" xfId="631" xr:uid="{00000000-0005-0000-0000-000019000000}"/>
    <cellStyle name="Millares 2 2 2 2 2 3" xfId="465" xr:uid="{00000000-0005-0000-0000-00001A000000}"/>
    <cellStyle name="Millares 2 2 2 2 2 4" xfId="556" xr:uid="{00000000-0005-0000-0000-00001B000000}"/>
    <cellStyle name="Millares 2 2 2 2 3" xfId="230" xr:uid="{00000000-0005-0000-0000-000041000000}"/>
    <cellStyle name="Millares 2 2 2 2 3 2" xfId="346" xr:uid="{00000000-0005-0000-0000-000042000000}"/>
    <cellStyle name="Millares 2 2 2 2 3 2 2" xfId="540" xr:uid="{00000000-0005-0000-0000-00001E000000}"/>
    <cellStyle name="Millares 2 2 2 2 3 2 3" xfId="656" xr:uid="{00000000-0005-0000-0000-00001F000000}"/>
    <cellStyle name="Millares 2 2 2 2 3 3" xfId="490" xr:uid="{00000000-0005-0000-0000-000020000000}"/>
    <cellStyle name="Millares 2 2 2 2 3 4" xfId="581" xr:uid="{00000000-0005-0000-0000-000021000000}"/>
    <cellStyle name="Millares 2 2 2 2 4" xfId="255" xr:uid="{00000000-0005-0000-0000-000043000000}"/>
    <cellStyle name="Millares 2 2 2 2 4 2" xfId="380" xr:uid="{00000000-0005-0000-0000-000044000000}"/>
    <cellStyle name="Millares 2 2 2 2 4 3" xfId="606" xr:uid="{00000000-0005-0000-0000-000024000000}"/>
    <cellStyle name="Millares 2 2 2 2 5" xfId="415" xr:uid="{00000000-0005-0000-0000-000045000000}"/>
    <cellStyle name="Millares 2 2 2 2 6" xfId="278" xr:uid="{00000000-0005-0000-0000-000046000000}"/>
    <cellStyle name="Millares 2 2 2 2 7" xfId="443" xr:uid="{00000000-0005-0000-0000-000047000000}"/>
    <cellStyle name="Millares 2 2 2 3" xfId="186" xr:uid="{00000000-0005-0000-0000-000048000000}"/>
    <cellStyle name="Millares 2 2 2 3 2" xfId="213" xr:uid="{00000000-0005-0000-0000-000049000000}"/>
    <cellStyle name="Millares 2 2 2 3 2 2" xfId="320" xr:uid="{00000000-0005-0000-0000-00004A000000}"/>
    <cellStyle name="Millares 2 2 2 3 2 2 2" xfId="523" xr:uid="{00000000-0005-0000-0000-00002A000000}"/>
    <cellStyle name="Millares 2 2 2 3 2 2 3" xfId="639" xr:uid="{00000000-0005-0000-0000-00002B000000}"/>
    <cellStyle name="Millares 2 2 2 3 2 3" xfId="473" xr:uid="{00000000-0005-0000-0000-00002C000000}"/>
    <cellStyle name="Millares 2 2 2 3 2 4" xfId="564" xr:uid="{00000000-0005-0000-0000-00002D000000}"/>
    <cellStyle name="Millares 2 2 2 3 3" xfId="238" xr:uid="{00000000-0005-0000-0000-00004B000000}"/>
    <cellStyle name="Millares 2 2 2 3 3 2" xfId="354" xr:uid="{00000000-0005-0000-0000-00004C000000}"/>
    <cellStyle name="Millares 2 2 2 3 3 2 2" xfId="548" xr:uid="{00000000-0005-0000-0000-000030000000}"/>
    <cellStyle name="Millares 2 2 2 3 3 2 3" xfId="664" xr:uid="{00000000-0005-0000-0000-000031000000}"/>
    <cellStyle name="Millares 2 2 2 3 3 3" xfId="498" xr:uid="{00000000-0005-0000-0000-000032000000}"/>
    <cellStyle name="Millares 2 2 2 3 3 4" xfId="589" xr:uid="{00000000-0005-0000-0000-000033000000}"/>
    <cellStyle name="Millares 2 2 2 3 4" xfId="263" xr:uid="{00000000-0005-0000-0000-00004D000000}"/>
    <cellStyle name="Millares 2 2 2 3 4 2" xfId="388" xr:uid="{00000000-0005-0000-0000-00004E000000}"/>
    <cellStyle name="Millares 2 2 2 3 4 3" xfId="614" xr:uid="{00000000-0005-0000-0000-000036000000}"/>
    <cellStyle name="Millares 2 2 2 3 5" xfId="423" xr:uid="{00000000-0005-0000-0000-00004F000000}"/>
    <cellStyle name="Millares 2 2 2 3 6" xfId="286" xr:uid="{00000000-0005-0000-0000-000050000000}"/>
    <cellStyle name="Millares 2 2 2 3 7" xfId="451" xr:uid="{00000000-0005-0000-0000-000051000000}"/>
    <cellStyle name="Millares 2 2 2 4" xfId="199" xr:uid="{00000000-0005-0000-0000-000052000000}"/>
    <cellStyle name="Millares 2 2 2 4 2" xfId="340" xr:uid="{00000000-0005-0000-0000-000053000000}"/>
    <cellStyle name="Millares 2 2 2 4 2 2" xfId="509" xr:uid="{00000000-0005-0000-0000-00003B000000}"/>
    <cellStyle name="Millares 2 2 2 4 2 3" xfId="625" xr:uid="{00000000-0005-0000-0000-00003C000000}"/>
    <cellStyle name="Millares 2 2 2 4 3" xfId="374" xr:uid="{00000000-0005-0000-0000-000054000000}"/>
    <cellStyle name="Millares 2 2 2 4 4" xfId="409" xr:uid="{00000000-0005-0000-0000-000055000000}"/>
    <cellStyle name="Millares 2 2 2 4 5" xfId="306" xr:uid="{00000000-0005-0000-0000-000056000000}"/>
    <cellStyle name="Millares 2 2 2 5" xfId="224" xr:uid="{00000000-0005-0000-0000-000057000000}"/>
    <cellStyle name="Millares 2 2 2 5 2" xfId="295" xr:uid="{00000000-0005-0000-0000-000058000000}"/>
    <cellStyle name="Millares 2 2 2 5 2 2" xfId="534" xr:uid="{00000000-0005-0000-0000-000041000000}"/>
    <cellStyle name="Millares 2 2 2 5 2 3" xfId="650" xr:uid="{00000000-0005-0000-0000-000042000000}"/>
    <cellStyle name="Millares 2 2 2 5 3" xfId="484" xr:uid="{00000000-0005-0000-0000-000043000000}"/>
    <cellStyle name="Millares 2 2 2 5 4" xfId="575" xr:uid="{00000000-0005-0000-0000-000044000000}"/>
    <cellStyle name="Millares 2 2 2 6" xfId="249" xr:uid="{00000000-0005-0000-0000-000059000000}"/>
    <cellStyle name="Millares 2 2 2 6 2" xfId="329" xr:uid="{00000000-0005-0000-0000-00005A000000}"/>
    <cellStyle name="Millares 2 2 2 6 3" xfId="600" xr:uid="{00000000-0005-0000-0000-000047000000}"/>
    <cellStyle name="Millares 2 2 2 7" xfId="363" xr:uid="{00000000-0005-0000-0000-00005B000000}"/>
    <cellStyle name="Millares 2 2 2 8" xfId="398" xr:uid="{00000000-0005-0000-0000-00005C000000}"/>
    <cellStyle name="Millares 2 2 2 9" xfId="272" xr:uid="{00000000-0005-0000-0000-00005D000000}"/>
    <cellStyle name="Millares 2 2 3" xfId="174" xr:uid="{00000000-0005-0000-0000-00005E000000}"/>
    <cellStyle name="Millares 2 2 3 10" xfId="439" xr:uid="{00000000-0005-0000-0000-00005F000000}"/>
    <cellStyle name="Millares 2 2 3 2" xfId="180" xr:uid="{00000000-0005-0000-0000-000060000000}"/>
    <cellStyle name="Millares 2 2 3 2 2" xfId="207" xr:uid="{00000000-0005-0000-0000-000061000000}"/>
    <cellStyle name="Millares 2 2 3 2 2 2" xfId="314" xr:uid="{00000000-0005-0000-0000-000062000000}"/>
    <cellStyle name="Millares 2 2 3 2 2 2 2" xfId="517" xr:uid="{00000000-0005-0000-0000-00004E000000}"/>
    <cellStyle name="Millares 2 2 3 2 2 2 3" xfId="633" xr:uid="{00000000-0005-0000-0000-00004F000000}"/>
    <cellStyle name="Millares 2 2 3 2 2 3" xfId="467" xr:uid="{00000000-0005-0000-0000-000050000000}"/>
    <cellStyle name="Millares 2 2 3 2 2 4" xfId="558" xr:uid="{00000000-0005-0000-0000-000051000000}"/>
    <cellStyle name="Millares 2 2 3 2 3" xfId="232" xr:uid="{00000000-0005-0000-0000-000063000000}"/>
    <cellStyle name="Millares 2 2 3 2 3 2" xfId="348" xr:uid="{00000000-0005-0000-0000-000064000000}"/>
    <cellStyle name="Millares 2 2 3 2 3 2 2" xfId="542" xr:uid="{00000000-0005-0000-0000-000054000000}"/>
    <cellStyle name="Millares 2 2 3 2 3 2 3" xfId="658" xr:uid="{00000000-0005-0000-0000-000055000000}"/>
    <cellStyle name="Millares 2 2 3 2 3 3" xfId="492" xr:uid="{00000000-0005-0000-0000-000056000000}"/>
    <cellStyle name="Millares 2 2 3 2 3 4" xfId="583" xr:uid="{00000000-0005-0000-0000-000057000000}"/>
    <cellStyle name="Millares 2 2 3 2 4" xfId="257" xr:uid="{00000000-0005-0000-0000-000065000000}"/>
    <cellStyle name="Millares 2 2 3 2 4 2" xfId="382" xr:uid="{00000000-0005-0000-0000-000066000000}"/>
    <cellStyle name="Millares 2 2 3 2 4 3" xfId="608" xr:uid="{00000000-0005-0000-0000-00005A000000}"/>
    <cellStyle name="Millares 2 2 3 2 5" xfId="417" xr:uid="{00000000-0005-0000-0000-000067000000}"/>
    <cellStyle name="Millares 2 2 3 2 6" xfId="280" xr:uid="{00000000-0005-0000-0000-000068000000}"/>
    <cellStyle name="Millares 2 2 3 2 7" xfId="445" xr:uid="{00000000-0005-0000-0000-000069000000}"/>
    <cellStyle name="Millares 2 2 3 3" xfId="188" xr:uid="{00000000-0005-0000-0000-00006A000000}"/>
    <cellStyle name="Millares 2 2 3 3 2" xfId="215" xr:uid="{00000000-0005-0000-0000-00006B000000}"/>
    <cellStyle name="Millares 2 2 3 3 2 2" xfId="322" xr:uid="{00000000-0005-0000-0000-00006C000000}"/>
    <cellStyle name="Millares 2 2 3 3 2 2 2" xfId="525" xr:uid="{00000000-0005-0000-0000-000060000000}"/>
    <cellStyle name="Millares 2 2 3 3 2 2 3" xfId="641" xr:uid="{00000000-0005-0000-0000-000061000000}"/>
    <cellStyle name="Millares 2 2 3 3 2 3" xfId="475" xr:uid="{00000000-0005-0000-0000-000062000000}"/>
    <cellStyle name="Millares 2 2 3 3 2 4" xfId="566" xr:uid="{00000000-0005-0000-0000-000063000000}"/>
    <cellStyle name="Millares 2 2 3 3 3" xfId="240" xr:uid="{00000000-0005-0000-0000-00006D000000}"/>
    <cellStyle name="Millares 2 2 3 3 3 2" xfId="356" xr:uid="{00000000-0005-0000-0000-00006E000000}"/>
    <cellStyle name="Millares 2 2 3 3 3 2 2" xfId="550" xr:uid="{00000000-0005-0000-0000-000066000000}"/>
    <cellStyle name="Millares 2 2 3 3 3 2 3" xfId="666" xr:uid="{00000000-0005-0000-0000-000067000000}"/>
    <cellStyle name="Millares 2 2 3 3 3 3" xfId="500" xr:uid="{00000000-0005-0000-0000-000068000000}"/>
    <cellStyle name="Millares 2 2 3 3 3 4" xfId="591" xr:uid="{00000000-0005-0000-0000-000069000000}"/>
    <cellStyle name="Millares 2 2 3 3 4" xfId="265" xr:uid="{00000000-0005-0000-0000-00006F000000}"/>
    <cellStyle name="Millares 2 2 3 3 4 2" xfId="390" xr:uid="{00000000-0005-0000-0000-000070000000}"/>
    <cellStyle name="Millares 2 2 3 3 4 3" xfId="616" xr:uid="{00000000-0005-0000-0000-00006C000000}"/>
    <cellStyle name="Millares 2 2 3 3 5" xfId="425" xr:uid="{00000000-0005-0000-0000-000071000000}"/>
    <cellStyle name="Millares 2 2 3 3 6" xfId="288" xr:uid="{00000000-0005-0000-0000-000072000000}"/>
    <cellStyle name="Millares 2 2 3 3 7" xfId="453" xr:uid="{00000000-0005-0000-0000-000073000000}"/>
    <cellStyle name="Millares 2 2 3 4" xfId="201" xr:uid="{00000000-0005-0000-0000-000074000000}"/>
    <cellStyle name="Millares 2 2 3 4 2" xfId="342" xr:uid="{00000000-0005-0000-0000-000075000000}"/>
    <cellStyle name="Millares 2 2 3 4 2 2" xfId="511" xr:uid="{00000000-0005-0000-0000-000071000000}"/>
    <cellStyle name="Millares 2 2 3 4 2 3" xfId="627" xr:uid="{00000000-0005-0000-0000-000072000000}"/>
    <cellStyle name="Millares 2 2 3 4 3" xfId="376" xr:uid="{00000000-0005-0000-0000-000076000000}"/>
    <cellStyle name="Millares 2 2 3 4 4" xfId="411" xr:uid="{00000000-0005-0000-0000-000077000000}"/>
    <cellStyle name="Millares 2 2 3 4 5" xfId="308" xr:uid="{00000000-0005-0000-0000-000078000000}"/>
    <cellStyle name="Millares 2 2 3 5" xfId="226" xr:uid="{00000000-0005-0000-0000-000079000000}"/>
    <cellStyle name="Millares 2 2 3 5 2" xfId="297" xr:uid="{00000000-0005-0000-0000-00007A000000}"/>
    <cellStyle name="Millares 2 2 3 5 2 2" xfId="536" xr:uid="{00000000-0005-0000-0000-000077000000}"/>
    <cellStyle name="Millares 2 2 3 5 2 3" xfId="652" xr:uid="{00000000-0005-0000-0000-000078000000}"/>
    <cellStyle name="Millares 2 2 3 5 3" xfId="486" xr:uid="{00000000-0005-0000-0000-000079000000}"/>
    <cellStyle name="Millares 2 2 3 5 4" xfId="577" xr:uid="{00000000-0005-0000-0000-00007A000000}"/>
    <cellStyle name="Millares 2 2 3 6" xfId="251" xr:uid="{00000000-0005-0000-0000-00007B000000}"/>
    <cellStyle name="Millares 2 2 3 6 2" xfId="331" xr:uid="{00000000-0005-0000-0000-00007C000000}"/>
    <cellStyle name="Millares 2 2 3 6 3" xfId="602" xr:uid="{00000000-0005-0000-0000-00007D000000}"/>
    <cellStyle name="Millares 2 2 3 7" xfId="365" xr:uid="{00000000-0005-0000-0000-00007D000000}"/>
    <cellStyle name="Millares 2 2 3 8" xfId="400" xr:uid="{00000000-0005-0000-0000-00007E000000}"/>
    <cellStyle name="Millares 2 2 3 9" xfId="274" xr:uid="{00000000-0005-0000-0000-00007F000000}"/>
    <cellStyle name="Millares 2 2 4" xfId="177" xr:uid="{00000000-0005-0000-0000-000080000000}"/>
    <cellStyle name="Millares 2 2 4 2" xfId="191" xr:uid="{00000000-0005-0000-0000-000081000000}"/>
    <cellStyle name="Millares 2 2 4 2 2" xfId="218" xr:uid="{00000000-0005-0000-0000-000082000000}"/>
    <cellStyle name="Millares 2 2 4 2 2 2" xfId="325" xr:uid="{00000000-0005-0000-0000-000083000000}"/>
    <cellStyle name="Millares 2 2 4 2 2 2 2" xfId="528" xr:uid="{00000000-0005-0000-0000-000084000000}"/>
    <cellStyle name="Millares 2 2 4 2 2 2 3" xfId="644" xr:uid="{00000000-0005-0000-0000-000085000000}"/>
    <cellStyle name="Millares 2 2 4 2 2 3" xfId="478" xr:uid="{00000000-0005-0000-0000-000086000000}"/>
    <cellStyle name="Millares 2 2 4 2 2 4" xfId="569" xr:uid="{00000000-0005-0000-0000-000087000000}"/>
    <cellStyle name="Millares 2 2 4 2 3" xfId="243" xr:uid="{00000000-0005-0000-0000-000084000000}"/>
    <cellStyle name="Millares 2 2 4 2 3 2" xfId="359" xr:uid="{00000000-0005-0000-0000-000085000000}"/>
    <cellStyle name="Millares 2 2 4 2 3 2 2" xfId="553" xr:uid="{00000000-0005-0000-0000-00008A000000}"/>
    <cellStyle name="Millares 2 2 4 2 3 2 3" xfId="669" xr:uid="{00000000-0005-0000-0000-00008B000000}"/>
    <cellStyle name="Millares 2 2 4 2 3 3" xfId="503" xr:uid="{00000000-0005-0000-0000-00008C000000}"/>
    <cellStyle name="Millares 2 2 4 2 3 4" xfId="594" xr:uid="{00000000-0005-0000-0000-00008D000000}"/>
    <cellStyle name="Millares 2 2 4 2 4" xfId="268" xr:uid="{00000000-0005-0000-0000-000086000000}"/>
    <cellStyle name="Millares 2 2 4 2 4 2" xfId="393" xr:uid="{00000000-0005-0000-0000-000087000000}"/>
    <cellStyle name="Millares 2 2 4 2 4 3" xfId="619" xr:uid="{00000000-0005-0000-0000-000090000000}"/>
    <cellStyle name="Millares 2 2 4 2 5" xfId="428" xr:uid="{00000000-0005-0000-0000-000088000000}"/>
    <cellStyle name="Millares 2 2 4 2 6" xfId="291" xr:uid="{00000000-0005-0000-0000-000089000000}"/>
    <cellStyle name="Millares 2 2 4 2 7" xfId="456" xr:uid="{00000000-0005-0000-0000-00008A000000}"/>
    <cellStyle name="Millares 2 2 4 3" xfId="204" xr:uid="{00000000-0005-0000-0000-00008B000000}"/>
    <cellStyle name="Millares 2 2 4 3 2" xfId="345" xr:uid="{00000000-0005-0000-0000-00008C000000}"/>
    <cellStyle name="Millares 2 2 4 3 2 2" xfId="514" xr:uid="{00000000-0005-0000-0000-000095000000}"/>
    <cellStyle name="Millares 2 2 4 3 2 3" xfId="630" xr:uid="{00000000-0005-0000-0000-000096000000}"/>
    <cellStyle name="Millares 2 2 4 3 3" xfId="379" xr:uid="{00000000-0005-0000-0000-00008D000000}"/>
    <cellStyle name="Millares 2 2 4 3 4" xfId="414" xr:uid="{00000000-0005-0000-0000-00008E000000}"/>
    <cellStyle name="Millares 2 2 4 3 5" xfId="311" xr:uid="{00000000-0005-0000-0000-00008F000000}"/>
    <cellStyle name="Millares 2 2 4 4" xfId="229" xr:uid="{00000000-0005-0000-0000-000090000000}"/>
    <cellStyle name="Millares 2 2 4 4 2" xfId="300" xr:uid="{00000000-0005-0000-0000-000091000000}"/>
    <cellStyle name="Millares 2 2 4 4 2 2" xfId="539" xr:uid="{00000000-0005-0000-0000-00009B000000}"/>
    <cellStyle name="Millares 2 2 4 4 2 3" xfId="655" xr:uid="{00000000-0005-0000-0000-00009C000000}"/>
    <cellStyle name="Millares 2 2 4 4 3" xfId="489" xr:uid="{00000000-0005-0000-0000-00009D000000}"/>
    <cellStyle name="Millares 2 2 4 4 4" xfId="580" xr:uid="{00000000-0005-0000-0000-00009E000000}"/>
    <cellStyle name="Millares 2 2 4 5" xfId="254" xr:uid="{00000000-0005-0000-0000-000092000000}"/>
    <cellStyle name="Millares 2 2 4 5 2" xfId="334" xr:uid="{00000000-0005-0000-0000-000093000000}"/>
    <cellStyle name="Millares 2 2 4 5 3" xfId="605" xr:uid="{00000000-0005-0000-0000-0000A1000000}"/>
    <cellStyle name="Millares 2 2 4 6" xfId="368" xr:uid="{00000000-0005-0000-0000-000094000000}"/>
    <cellStyle name="Millares 2 2 4 7" xfId="403" xr:uid="{00000000-0005-0000-0000-000095000000}"/>
    <cellStyle name="Millares 2 2 4 8" xfId="277" xr:uid="{00000000-0005-0000-0000-000096000000}"/>
    <cellStyle name="Millares 2 2 4 9" xfId="442" xr:uid="{00000000-0005-0000-0000-000097000000}"/>
    <cellStyle name="Millares 2 2 5" xfId="182" xr:uid="{00000000-0005-0000-0000-000098000000}"/>
    <cellStyle name="Millares 2 2 5 2" xfId="209" xr:uid="{00000000-0005-0000-0000-000099000000}"/>
    <cellStyle name="Millares 2 2 5 2 2" xfId="316" xr:uid="{00000000-0005-0000-0000-00009A000000}"/>
    <cellStyle name="Millares 2 2 5 2 2 2" xfId="519" xr:uid="{00000000-0005-0000-0000-0000A7000000}"/>
    <cellStyle name="Millares 2 2 5 2 2 3" xfId="635" xr:uid="{00000000-0005-0000-0000-0000A8000000}"/>
    <cellStyle name="Millares 2 2 5 2 3" xfId="469" xr:uid="{00000000-0005-0000-0000-0000A9000000}"/>
    <cellStyle name="Millares 2 2 5 2 4" xfId="560" xr:uid="{00000000-0005-0000-0000-0000AA000000}"/>
    <cellStyle name="Millares 2 2 5 3" xfId="234" xr:uid="{00000000-0005-0000-0000-00009B000000}"/>
    <cellStyle name="Millares 2 2 5 3 2" xfId="350" xr:uid="{00000000-0005-0000-0000-00009C000000}"/>
    <cellStyle name="Millares 2 2 5 3 2 2" xfId="544" xr:uid="{00000000-0005-0000-0000-0000AD000000}"/>
    <cellStyle name="Millares 2 2 5 3 2 3" xfId="660" xr:uid="{00000000-0005-0000-0000-0000AE000000}"/>
    <cellStyle name="Millares 2 2 5 3 3" xfId="494" xr:uid="{00000000-0005-0000-0000-0000AF000000}"/>
    <cellStyle name="Millares 2 2 5 3 4" xfId="585" xr:uid="{00000000-0005-0000-0000-0000B0000000}"/>
    <cellStyle name="Millares 2 2 5 4" xfId="259" xr:uid="{00000000-0005-0000-0000-00009D000000}"/>
    <cellStyle name="Millares 2 2 5 4 2" xfId="384" xr:uid="{00000000-0005-0000-0000-00009E000000}"/>
    <cellStyle name="Millares 2 2 5 4 3" xfId="610" xr:uid="{00000000-0005-0000-0000-0000B3000000}"/>
    <cellStyle name="Millares 2 2 5 5" xfId="419" xr:uid="{00000000-0005-0000-0000-00009F000000}"/>
    <cellStyle name="Millares 2 2 5 6" xfId="282" xr:uid="{00000000-0005-0000-0000-0000A0000000}"/>
    <cellStyle name="Millares 2 2 5 7" xfId="447" xr:uid="{00000000-0005-0000-0000-0000A1000000}"/>
    <cellStyle name="Millares 2 2 6" xfId="185" xr:uid="{00000000-0005-0000-0000-0000A2000000}"/>
    <cellStyle name="Millares 2 2 6 2" xfId="212" xr:uid="{00000000-0005-0000-0000-0000A3000000}"/>
    <cellStyle name="Millares 2 2 6 2 2" xfId="319" xr:uid="{00000000-0005-0000-0000-0000A4000000}"/>
    <cellStyle name="Millares 2 2 6 2 2 2" xfId="522" xr:uid="{00000000-0005-0000-0000-0000B9000000}"/>
    <cellStyle name="Millares 2 2 6 2 2 3" xfId="638" xr:uid="{00000000-0005-0000-0000-0000BA000000}"/>
    <cellStyle name="Millares 2 2 6 2 3" xfId="472" xr:uid="{00000000-0005-0000-0000-0000BB000000}"/>
    <cellStyle name="Millares 2 2 6 2 4" xfId="563" xr:uid="{00000000-0005-0000-0000-0000BC000000}"/>
    <cellStyle name="Millares 2 2 6 3" xfId="237" xr:uid="{00000000-0005-0000-0000-0000A5000000}"/>
    <cellStyle name="Millares 2 2 6 3 2" xfId="353" xr:uid="{00000000-0005-0000-0000-0000A6000000}"/>
    <cellStyle name="Millares 2 2 6 3 2 2" xfId="547" xr:uid="{00000000-0005-0000-0000-0000BF000000}"/>
    <cellStyle name="Millares 2 2 6 3 2 3" xfId="663" xr:uid="{00000000-0005-0000-0000-0000C0000000}"/>
    <cellStyle name="Millares 2 2 6 3 3" xfId="497" xr:uid="{00000000-0005-0000-0000-0000C1000000}"/>
    <cellStyle name="Millares 2 2 6 3 4" xfId="588" xr:uid="{00000000-0005-0000-0000-0000C2000000}"/>
    <cellStyle name="Millares 2 2 6 4" xfId="262" xr:uid="{00000000-0005-0000-0000-0000A7000000}"/>
    <cellStyle name="Millares 2 2 6 4 2" xfId="387" xr:uid="{00000000-0005-0000-0000-0000A8000000}"/>
    <cellStyle name="Millares 2 2 6 4 3" xfId="613" xr:uid="{00000000-0005-0000-0000-0000C5000000}"/>
    <cellStyle name="Millares 2 2 6 5" xfId="422" xr:uid="{00000000-0005-0000-0000-0000A9000000}"/>
    <cellStyle name="Millares 2 2 6 6" xfId="285" xr:uid="{00000000-0005-0000-0000-0000AA000000}"/>
    <cellStyle name="Millares 2 2 6 7" xfId="450" xr:uid="{00000000-0005-0000-0000-0000AB000000}"/>
    <cellStyle name="Millares 2 2 7" xfId="168" xr:uid="{00000000-0005-0000-0000-0000AC000000}"/>
    <cellStyle name="Millares 2 2 7 2" xfId="197" xr:uid="{00000000-0005-0000-0000-0000AD000000}"/>
    <cellStyle name="Millares 2 2 7 2 2" xfId="338" xr:uid="{00000000-0005-0000-0000-0000AE000000}"/>
    <cellStyle name="Millares 2 2 7 2 2 2" xfId="507" xr:uid="{00000000-0005-0000-0000-0000CB000000}"/>
    <cellStyle name="Millares 2 2 7 2 2 3" xfId="623" xr:uid="{00000000-0005-0000-0000-0000CC000000}"/>
    <cellStyle name="Millares 2 2 7 2 3" xfId="464" xr:uid="{00000000-0005-0000-0000-0000CD000000}"/>
    <cellStyle name="Millares 2 2 7 2 4" xfId="555" xr:uid="{00000000-0005-0000-0000-0000CE000000}"/>
    <cellStyle name="Millares 2 2 7 3" xfId="222" xr:uid="{00000000-0005-0000-0000-0000AF000000}"/>
    <cellStyle name="Millares 2 2 7 3 2" xfId="372" xr:uid="{00000000-0005-0000-0000-0000B0000000}"/>
    <cellStyle name="Millares 2 2 7 3 2 2" xfId="532" xr:uid="{00000000-0005-0000-0000-0000D1000000}"/>
    <cellStyle name="Millares 2 2 7 3 2 3" xfId="648" xr:uid="{00000000-0005-0000-0000-0000D2000000}"/>
    <cellStyle name="Millares 2 2 7 3 3" xfId="482" xr:uid="{00000000-0005-0000-0000-0000D3000000}"/>
    <cellStyle name="Millares 2 2 7 3 4" xfId="573" xr:uid="{00000000-0005-0000-0000-0000D4000000}"/>
    <cellStyle name="Millares 2 2 7 4" xfId="247" xr:uid="{00000000-0005-0000-0000-0000B1000000}"/>
    <cellStyle name="Millares 2 2 7 4 2" xfId="407" xr:uid="{00000000-0005-0000-0000-0000B2000000}"/>
    <cellStyle name="Millares 2 2 7 4 3" xfId="598" xr:uid="{00000000-0005-0000-0000-0000D7000000}"/>
    <cellStyle name="Millares 2 2 7 5" xfId="304" xr:uid="{00000000-0005-0000-0000-0000B3000000}"/>
    <cellStyle name="Millares 2 2 7 6" xfId="435" xr:uid="{00000000-0005-0000-0000-0000B4000000}"/>
    <cellStyle name="Millares 2 2 8" xfId="195" xr:uid="{00000000-0005-0000-0000-0000B5000000}"/>
    <cellStyle name="Millares 2 2 8 2" xfId="336" xr:uid="{00000000-0005-0000-0000-0000B6000000}"/>
    <cellStyle name="Millares 2 2 8 2 2" xfId="505" xr:uid="{00000000-0005-0000-0000-0000DC000000}"/>
    <cellStyle name="Millares 2 2 8 2 3" xfId="621" xr:uid="{00000000-0005-0000-0000-0000DD000000}"/>
    <cellStyle name="Millares 2 2 8 3" xfId="370" xr:uid="{00000000-0005-0000-0000-0000B7000000}"/>
    <cellStyle name="Millares 2 2 8 4" xfId="405" xr:uid="{00000000-0005-0000-0000-0000B8000000}"/>
    <cellStyle name="Millares 2 2 8 5" xfId="302" xr:uid="{00000000-0005-0000-0000-0000B9000000}"/>
    <cellStyle name="Millares 2 2 9" xfId="220" xr:uid="{00000000-0005-0000-0000-0000BA000000}"/>
    <cellStyle name="Millares 2 2 9 2" xfId="294" xr:uid="{00000000-0005-0000-0000-0000BB000000}"/>
    <cellStyle name="Millares 2 2 9 2 2" xfId="530" xr:uid="{00000000-0005-0000-0000-0000E2000000}"/>
    <cellStyle name="Millares 2 2 9 2 3" xfId="646" xr:uid="{00000000-0005-0000-0000-0000E3000000}"/>
    <cellStyle name="Millares 2 2 9 3" xfId="480" xr:uid="{00000000-0005-0000-0000-0000E4000000}"/>
    <cellStyle name="Millares 2 2 9 4" xfId="571" xr:uid="{00000000-0005-0000-0000-0000E5000000}"/>
    <cellStyle name="Millares 2 3" xfId="171" xr:uid="{00000000-0005-0000-0000-0000BC000000}"/>
    <cellStyle name="Millares 2 3 10" xfId="436" xr:uid="{00000000-0005-0000-0000-0000BD000000}"/>
    <cellStyle name="Millares 2 3 2" xfId="176" xr:uid="{00000000-0005-0000-0000-0000BE000000}"/>
    <cellStyle name="Millares 2 3 2 2" xfId="190" xr:uid="{00000000-0005-0000-0000-0000BF000000}"/>
    <cellStyle name="Millares 2 3 2 2 2" xfId="217" xr:uid="{00000000-0005-0000-0000-0000C0000000}"/>
    <cellStyle name="Millares 2 3 2 2 2 2" xfId="324" xr:uid="{00000000-0005-0000-0000-0000C1000000}"/>
    <cellStyle name="Millares 2 3 2 2 2 2 2" xfId="527" xr:uid="{00000000-0005-0000-0000-0000EB000000}"/>
    <cellStyle name="Millares 2 3 2 2 2 2 3" xfId="643" xr:uid="{00000000-0005-0000-0000-0000EC000000}"/>
    <cellStyle name="Millares 2 3 2 2 2 3" xfId="477" xr:uid="{00000000-0005-0000-0000-0000ED000000}"/>
    <cellStyle name="Millares 2 3 2 2 2 4" xfId="568" xr:uid="{00000000-0005-0000-0000-0000EE000000}"/>
    <cellStyle name="Millares 2 3 2 2 3" xfId="242" xr:uid="{00000000-0005-0000-0000-0000C2000000}"/>
    <cellStyle name="Millares 2 3 2 2 3 2" xfId="358" xr:uid="{00000000-0005-0000-0000-0000C3000000}"/>
    <cellStyle name="Millares 2 3 2 2 3 2 2" xfId="552" xr:uid="{00000000-0005-0000-0000-0000F1000000}"/>
    <cellStyle name="Millares 2 3 2 2 3 2 3" xfId="668" xr:uid="{00000000-0005-0000-0000-0000F2000000}"/>
    <cellStyle name="Millares 2 3 2 2 3 3" xfId="502" xr:uid="{00000000-0005-0000-0000-0000F3000000}"/>
    <cellStyle name="Millares 2 3 2 2 3 4" xfId="593" xr:uid="{00000000-0005-0000-0000-0000F4000000}"/>
    <cellStyle name="Millares 2 3 2 2 4" xfId="267" xr:uid="{00000000-0005-0000-0000-0000C4000000}"/>
    <cellStyle name="Millares 2 3 2 2 4 2" xfId="392" xr:uid="{00000000-0005-0000-0000-0000C5000000}"/>
    <cellStyle name="Millares 2 3 2 2 4 3" xfId="618" xr:uid="{00000000-0005-0000-0000-0000F7000000}"/>
    <cellStyle name="Millares 2 3 2 2 5" xfId="427" xr:uid="{00000000-0005-0000-0000-0000C6000000}"/>
    <cellStyle name="Millares 2 3 2 2 6" xfId="290" xr:uid="{00000000-0005-0000-0000-0000C7000000}"/>
    <cellStyle name="Millares 2 3 2 2 7" xfId="455" xr:uid="{00000000-0005-0000-0000-0000C8000000}"/>
    <cellStyle name="Millares 2 3 2 3" xfId="203" xr:uid="{00000000-0005-0000-0000-0000C9000000}"/>
    <cellStyle name="Millares 2 3 2 3 2" xfId="344" xr:uid="{00000000-0005-0000-0000-0000CA000000}"/>
    <cellStyle name="Millares 2 3 2 3 2 2" xfId="513" xr:uid="{00000000-0005-0000-0000-0000FC000000}"/>
    <cellStyle name="Millares 2 3 2 3 2 3" xfId="629" xr:uid="{00000000-0005-0000-0000-0000FD000000}"/>
    <cellStyle name="Millares 2 3 2 3 3" xfId="378" xr:uid="{00000000-0005-0000-0000-0000CB000000}"/>
    <cellStyle name="Millares 2 3 2 3 4" xfId="413" xr:uid="{00000000-0005-0000-0000-0000CC000000}"/>
    <cellStyle name="Millares 2 3 2 3 5" xfId="310" xr:uid="{00000000-0005-0000-0000-0000CD000000}"/>
    <cellStyle name="Millares 2 3 2 4" xfId="228" xr:uid="{00000000-0005-0000-0000-0000CE000000}"/>
    <cellStyle name="Millares 2 3 2 4 2" xfId="299" xr:uid="{00000000-0005-0000-0000-0000CF000000}"/>
    <cellStyle name="Millares 2 3 2 4 2 2" xfId="538" xr:uid="{00000000-0005-0000-0000-000002010000}"/>
    <cellStyle name="Millares 2 3 2 4 2 3" xfId="654" xr:uid="{00000000-0005-0000-0000-000003010000}"/>
    <cellStyle name="Millares 2 3 2 4 3" xfId="488" xr:uid="{00000000-0005-0000-0000-000004010000}"/>
    <cellStyle name="Millares 2 3 2 4 4" xfId="579" xr:uid="{00000000-0005-0000-0000-000005010000}"/>
    <cellStyle name="Millares 2 3 2 5" xfId="253" xr:uid="{00000000-0005-0000-0000-0000D0000000}"/>
    <cellStyle name="Millares 2 3 2 5 2" xfId="333" xr:uid="{00000000-0005-0000-0000-0000D1000000}"/>
    <cellStyle name="Millares 2 3 2 5 3" xfId="604" xr:uid="{00000000-0005-0000-0000-000008010000}"/>
    <cellStyle name="Millares 2 3 2 6" xfId="367" xr:uid="{00000000-0005-0000-0000-0000D2000000}"/>
    <cellStyle name="Millares 2 3 2 7" xfId="402" xr:uid="{00000000-0005-0000-0000-0000D3000000}"/>
    <cellStyle name="Millares 2 3 2 8" xfId="276" xr:uid="{00000000-0005-0000-0000-0000D4000000}"/>
    <cellStyle name="Millares 2 3 2 9" xfId="441" xr:uid="{00000000-0005-0000-0000-0000D5000000}"/>
    <cellStyle name="Millares 2 3 3" xfId="184" xr:uid="{00000000-0005-0000-0000-0000D6000000}"/>
    <cellStyle name="Millares 2 3 3 2" xfId="211" xr:uid="{00000000-0005-0000-0000-0000D7000000}"/>
    <cellStyle name="Millares 2 3 3 2 2" xfId="318" xr:uid="{00000000-0005-0000-0000-0000D8000000}"/>
    <cellStyle name="Millares 2 3 3 2 2 2" xfId="521" xr:uid="{00000000-0005-0000-0000-00000E010000}"/>
    <cellStyle name="Millares 2 3 3 2 2 3" xfId="637" xr:uid="{00000000-0005-0000-0000-00000F010000}"/>
    <cellStyle name="Millares 2 3 3 2 3" xfId="471" xr:uid="{00000000-0005-0000-0000-000010010000}"/>
    <cellStyle name="Millares 2 3 3 2 4" xfId="562" xr:uid="{00000000-0005-0000-0000-000011010000}"/>
    <cellStyle name="Millares 2 3 3 3" xfId="236" xr:uid="{00000000-0005-0000-0000-0000D9000000}"/>
    <cellStyle name="Millares 2 3 3 3 2" xfId="352" xr:uid="{00000000-0005-0000-0000-0000DA000000}"/>
    <cellStyle name="Millares 2 3 3 3 2 2" xfId="546" xr:uid="{00000000-0005-0000-0000-000014010000}"/>
    <cellStyle name="Millares 2 3 3 3 2 3" xfId="662" xr:uid="{00000000-0005-0000-0000-000015010000}"/>
    <cellStyle name="Millares 2 3 3 3 3" xfId="496" xr:uid="{00000000-0005-0000-0000-000016010000}"/>
    <cellStyle name="Millares 2 3 3 3 4" xfId="587" xr:uid="{00000000-0005-0000-0000-000017010000}"/>
    <cellStyle name="Millares 2 3 3 4" xfId="261" xr:uid="{00000000-0005-0000-0000-0000DB000000}"/>
    <cellStyle name="Millares 2 3 3 4 2" xfId="386" xr:uid="{00000000-0005-0000-0000-0000DC000000}"/>
    <cellStyle name="Millares 2 3 3 4 3" xfId="612" xr:uid="{00000000-0005-0000-0000-00001A010000}"/>
    <cellStyle name="Millares 2 3 3 5" xfId="421" xr:uid="{00000000-0005-0000-0000-0000DD000000}"/>
    <cellStyle name="Millares 2 3 3 6" xfId="284" xr:uid="{00000000-0005-0000-0000-0000DE000000}"/>
    <cellStyle name="Millares 2 3 3 7" xfId="449" xr:uid="{00000000-0005-0000-0000-0000DF000000}"/>
    <cellStyle name="Millares 2 3 4" xfId="198" xr:uid="{00000000-0005-0000-0000-0000E0000000}"/>
    <cellStyle name="Millares 2 3 4 2" xfId="339" xr:uid="{00000000-0005-0000-0000-0000E1000000}"/>
    <cellStyle name="Millares 2 3 4 2 2" xfId="508" xr:uid="{00000000-0005-0000-0000-00001F010000}"/>
    <cellStyle name="Millares 2 3 4 2 3" xfId="624" xr:uid="{00000000-0005-0000-0000-000020010000}"/>
    <cellStyle name="Millares 2 3 4 3" xfId="373" xr:uid="{00000000-0005-0000-0000-0000E2000000}"/>
    <cellStyle name="Millares 2 3 4 4" xfId="408" xr:uid="{00000000-0005-0000-0000-0000E3000000}"/>
    <cellStyle name="Millares 2 3 4 5" xfId="305" xr:uid="{00000000-0005-0000-0000-0000E4000000}"/>
    <cellStyle name="Millares 2 3 5" xfId="223" xr:uid="{00000000-0005-0000-0000-0000E5000000}"/>
    <cellStyle name="Millares 2 3 5 2" xfId="293" xr:uid="{00000000-0005-0000-0000-0000E6000000}"/>
    <cellStyle name="Millares 2 3 5 2 2" xfId="533" xr:uid="{00000000-0005-0000-0000-000025010000}"/>
    <cellStyle name="Millares 2 3 5 2 3" xfId="649" xr:uid="{00000000-0005-0000-0000-000026010000}"/>
    <cellStyle name="Millares 2 3 5 3" xfId="483" xr:uid="{00000000-0005-0000-0000-000027010000}"/>
    <cellStyle name="Millares 2 3 5 4" xfId="574" xr:uid="{00000000-0005-0000-0000-000028010000}"/>
    <cellStyle name="Millares 2 3 6" xfId="248" xr:uid="{00000000-0005-0000-0000-0000E7000000}"/>
    <cellStyle name="Millares 2 3 6 2" xfId="327" xr:uid="{00000000-0005-0000-0000-0000E8000000}"/>
    <cellStyle name="Millares 2 3 6 3" xfId="599" xr:uid="{00000000-0005-0000-0000-00002B010000}"/>
    <cellStyle name="Millares 2 3 7" xfId="361" xr:uid="{00000000-0005-0000-0000-0000E9000000}"/>
    <cellStyle name="Millares 2 3 8" xfId="396" xr:uid="{00000000-0005-0000-0000-0000EA000000}"/>
    <cellStyle name="Millares 2 3 9" xfId="271" xr:uid="{00000000-0005-0000-0000-0000EB000000}"/>
    <cellStyle name="Millares 2 4" xfId="173" xr:uid="{00000000-0005-0000-0000-0000EC000000}"/>
    <cellStyle name="Millares 2 4 10" xfId="438" xr:uid="{00000000-0005-0000-0000-0000ED000000}"/>
    <cellStyle name="Millares 2 4 2" xfId="179" xr:uid="{00000000-0005-0000-0000-0000EE000000}"/>
    <cellStyle name="Millares 2 4 2 2" xfId="206" xr:uid="{00000000-0005-0000-0000-0000EF000000}"/>
    <cellStyle name="Millares 2 4 2 2 2" xfId="313" xr:uid="{00000000-0005-0000-0000-0000F0000000}"/>
    <cellStyle name="Millares 2 4 2 2 2 2" xfId="516" xr:uid="{00000000-0005-0000-0000-000032010000}"/>
    <cellStyle name="Millares 2 4 2 2 2 3" xfId="632" xr:uid="{00000000-0005-0000-0000-000033010000}"/>
    <cellStyle name="Millares 2 4 2 2 3" xfId="466" xr:uid="{00000000-0005-0000-0000-000034010000}"/>
    <cellStyle name="Millares 2 4 2 2 4" xfId="557" xr:uid="{00000000-0005-0000-0000-000035010000}"/>
    <cellStyle name="Millares 2 4 2 3" xfId="231" xr:uid="{00000000-0005-0000-0000-0000F1000000}"/>
    <cellStyle name="Millares 2 4 2 3 2" xfId="347" xr:uid="{00000000-0005-0000-0000-0000F2000000}"/>
    <cellStyle name="Millares 2 4 2 3 2 2" xfId="541" xr:uid="{00000000-0005-0000-0000-000038010000}"/>
    <cellStyle name="Millares 2 4 2 3 2 3" xfId="657" xr:uid="{00000000-0005-0000-0000-000039010000}"/>
    <cellStyle name="Millares 2 4 2 3 3" xfId="491" xr:uid="{00000000-0005-0000-0000-00003A010000}"/>
    <cellStyle name="Millares 2 4 2 3 4" xfId="582" xr:uid="{00000000-0005-0000-0000-00003B010000}"/>
    <cellStyle name="Millares 2 4 2 4" xfId="256" xr:uid="{00000000-0005-0000-0000-0000F3000000}"/>
    <cellStyle name="Millares 2 4 2 4 2" xfId="381" xr:uid="{00000000-0005-0000-0000-0000F4000000}"/>
    <cellStyle name="Millares 2 4 2 4 3" xfId="607" xr:uid="{00000000-0005-0000-0000-00003E010000}"/>
    <cellStyle name="Millares 2 4 2 5" xfId="416" xr:uid="{00000000-0005-0000-0000-0000F5000000}"/>
    <cellStyle name="Millares 2 4 2 6" xfId="279" xr:uid="{00000000-0005-0000-0000-0000F6000000}"/>
    <cellStyle name="Millares 2 4 2 7" xfId="444" xr:uid="{00000000-0005-0000-0000-0000F7000000}"/>
    <cellStyle name="Millares 2 4 3" xfId="187" xr:uid="{00000000-0005-0000-0000-0000F8000000}"/>
    <cellStyle name="Millares 2 4 3 2" xfId="214" xr:uid="{00000000-0005-0000-0000-0000F9000000}"/>
    <cellStyle name="Millares 2 4 3 2 2" xfId="321" xr:uid="{00000000-0005-0000-0000-0000FA000000}"/>
    <cellStyle name="Millares 2 4 3 2 2 2" xfId="524" xr:uid="{00000000-0005-0000-0000-000044010000}"/>
    <cellStyle name="Millares 2 4 3 2 2 3" xfId="640" xr:uid="{00000000-0005-0000-0000-000045010000}"/>
    <cellStyle name="Millares 2 4 3 2 3" xfId="474" xr:uid="{00000000-0005-0000-0000-000046010000}"/>
    <cellStyle name="Millares 2 4 3 2 4" xfId="565" xr:uid="{00000000-0005-0000-0000-000047010000}"/>
    <cellStyle name="Millares 2 4 3 3" xfId="239" xr:uid="{00000000-0005-0000-0000-0000FB000000}"/>
    <cellStyle name="Millares 2 4 3 3 2" xfId="355" xr:uid="{00000000-0005-0000-0000-0000FC000000}"/>
    <cellStyle name="Millares 2 4 3 3 2 2" xfId="549" xr:uid="{00000000-0005-0000-0000-00004A010000}"/>
    <cellStyle name="Millares 2 4 3 3 2 3" xfId="665" xr:uid="{00000000-0005-0000-0000-00004B010000}"/>
    <cellStyle name="Millares 2 4 3 3 3" xfId="499" xr:uid="{00000000-0005-0000-0000-00004C010000}"/>
    <cellStyle name="Millares 2 4 3 3 4" xfId="590" xr:uid="{00000000-0005-0000-0000-00004D010000}"/>
    <cellStyle name="Millares 2 4 3 4" xfId="264" xr:uid="{00000000-0005-0000-0000-0000FD000000}"/>
    <cellStyle name="Millares 2 4 3 4 2" xfId="389" xr:uid="{00000000-0005-0000-0000-0000FE000000}"/>
    <cellStyle name="Millares 2 4 3 4 3" xfId="615" xr:uid="{00000000-0005-0000-0000-000050010000}"/>
    <cellStyle name="Millares 2 4 3 5" xfId="424" xr:uid="{00000000-0005-0000-0000-0000FF000000}"/>
    <cellStyle name="Millares 2 4 3 6" xfId="287" xr:uid="{00000000-0005-0000-0000-000000010000}"/>
    <cellStyle name="Millares 2 4 3 7" xfId="452" xr:uid="{00000000-0005-0000-0000-000001010000}"/>
    <cellStyle name="Millares 2 4 4" xfId="200" xr:uid="{00000000-0005-0000-0000-000002010000}"/>
    <cellStyle name="Millares 2 4 4 2" xfId="341" xr:uid="{00000000-0005-0000-0000-000003010000}"/>
    <cellStyle name="Millares 2 4 4 2 2" xfId="510" xr:uid="{00000000-0005-0000-0000-000055010000}"/>
    <cellStyle name="Millares 2 4 4 2 3" xfId="626" xr:uid="{00000000-0005-0000-0000-000056010000}"/>
    <cellStyle name="Millares 2 4 4 3" xfId="375" xr:uid="{00000000-0005-0000-0000-000004010000}"/>
    <cellStyle name="Millares 2 4 4 4" xfId="410" xr:uid="{00000000-0005-0000-0000-000005010000}"/>
    <cellStyle name="Millares 2 4 4 5" xfId="307" xr:uid="{00000000-0005-0000-0000-000006010000}"/>
    <cellStyle name="Millares 2 4 5" xfId="225" xr:uid="{00000000-0005-0000-0000-000007010000}"/>
    <cellStyle name="Millares 2 4 5 2" xfId="296" xr:uid="{00000000-0005-0000-0000-000008010000}"/>
    <cellStyle name="Millares 2 4 5 2 2" xfId="535" xr:uid="{00000000-0005-0000-0000-00005B010000}"/>
    <cellStyle name="Millares 2 4 5 2 3" xfId="651" xr:uid="{00000000-0005-0000-0000-00005C010000}"/>
    <cellStyle name="Millares 2 4 5 3" xfId="485" xr:uid="{00000000-0005-0000-0000-00005D010000}"/>
    <cellStyle name="Millares 2 4 5 4" xfId="576" xr:uid="{00000000-0005-0000-0000-00005E010000}"/>
    <cellStyle name="Millares 2 4 6" xfId="250" xr:uid="{00000000-0005-0000-0000-000009010000}"/>
    <cellStyle name="Millares 2 4 6 2" xfId="330" xr:uid="{00000000-0005-0000-0000-00000A010000}"/>
    <cellStyle name="Millares 2 4 6 3" xfId="601" xr:uid="{00000000-0005-0000-0000-000061010000}"/>
    <cellStyle name="Millares 2 4 7" xfId="364" xr:uid="{00000000-0005-0000-0000-00000B010000}"/>
    <cellStyle name="Millares 2 4 8" xfId="399" xr:uid="{00000000-0005-0000-0000-00000C010000}"/>
    <cellStyle name="Millares 2 4 9" xfId="273" xr:uid="{00000000-0005-0000-0000-00000D010000}"/>
    <cellStyle name="Millares 2 5" xfId="175" xr:uid="{00000000-0005-0000-0000-00000E010000}"/>
    <cellStyle name="Millares 2 5 2" xfId="189" xr:uid="{00000000-0005-0000-0000-00000F010000}"/>
    <cellStyle name="Millares 2 5 2 2" xfId="216" xr:uid="{00000000-0005-0000-0000-000010010000}"/>
    <cellStyle name="Millares 2 5 2 2 2" xfId="323" xr:uid="{00000000-0005-0000-0000-000011010000}"/>
    <cellStyle name="Millares 2 5 2 2 2 2" xfId="526" xr:uid="{00000000-0005-0000-0000-000068010000}"/>
    <cellStyle name="Millares 2 5 2 2 2 3" xfId="642" xr:uid="{00000000-0005-0000-0000-000069010000}"/>
    <cellStyle name="Millares 2 5 2 2 3" xfId="476" xr:uid="{00000000-0005-0000-0000-00006A010000}"/>
    <cellStyle name="Millares 2 5 2 2 4" xfId="567" xr:uid="{00000000-0005-0000-0000-00006B010000}"/>
    <cellStyle name="Millares 2 5 2 3" xfId="241" xr:uid="{00000000-0005-0000-0000-000012010000}"/>
    <cellStyle name="Millares 2 5 2 3 2" xfId="357" xr:uid="{00000000-0005-0000-0000-000013010000}"/>
    <cellStyle name="Millares 2 5 2 3 2 2" xfId="551" xr:uid="{00000000-0005-0000-0000-00006E010000}"/>
    <cellStyle name="Millares 2 5 2 3 2 3" xfId="667" xr:uid="{00000000-0005-0000-0000-00006F010000}"/>
    <cellStyle name="Millares 2 5 2 3 3" xfId="501" xr:uid="{00000000-0005-0000-0000-000070010000}"/>
    <cellStyle name="Millares 2 5 2 3 4" xfId="592" xr:uid="{00000000-0005-0000-0000-000071010000}"/>
    <cellStyle name="Millares 2 5 2 4" xfId="266" xr:uid="{00000000-0005-0000-0000-000014010000}"/>
    <cellStyle name="Millares 2 5 2 4 2" xfId="391" xr:uid="{00000000-0005-0000-0000-000015010000}"/>
    <cellStyle name="Millares 2 5 2 4 3" xfId="617" xr:uid="{00000000-0005-0000-0000-000074010000}"/>
    <cellStyle name="Millares 2 5 2 5" xfId="426" xr:uid="{00000000-0005-0000-0000-000016010000}"/>
    <cellStyle name="Millares 2 5 2 6" xfId="289" xr:uid="{00000000-0005-0000-0000-000017010000}"/>
    <cellStyle name="Millares 2 5 2 7" xfId="454" xr:uid="{00000000-0005-0000-0000-000018010000}"/>
    <cellStyle name="Millares 2 5 3" xfId="202" xr:uid="{00000000-0005-0000-0000-000019010000}"/>
    <cellStyle name="Millares 2 5 3 2" xfId="343" xr:uid="{00000000-0005-0000-0000-00001A010000}"/>
    <cellStyle name="Millares 2 5 3 2 2" xfId="512" xr:uid="{00000000-0005-0000-0000-000079010000}"/>
    <cellStyle name="Millares 2 5 3 2 3" xfId="628" xr:uid="{00000000-0005-0000-0000-00007A010000}"/>
    <cellStyle name="Millares 2 5 3 3" xfId="377" xr:uid="{00000000-0005-0000-0000-00001B010000}"/>
    <cellStyle name="Millares 2 5 3 4" xfId="412" xr:uid="{00000000-0005-0000-0000-00001C010000}"/>
    <cellStyle name="Millares 2 5 3 5" xfId="309" xr:uid="{00000000-0005-0000-0000-00001D010000}"/>
    <cellStyle name="Millares 2 5 4" xfId="227" xr:uid="{00000000-0005-0000-0000-00001E010000}"/>
    <cellStyle name="Millares 2 5 4 2" xfId="298" xr:uid="{00000000-0005-0000-0000-00001F010000}"/>
    <cellStyle name="Millares 2 5 4 2 2" xfId="537" xr:uid="{00000000-0005-0000-0000-00007F010000}"/>
    <cellStyle name="Millares 2 5 4 2 3" xfId="653" xr:uid="{00000000-0005-0000-0000-000080010000}"/>
    <cellStyle name="Millares 2 5 4 3" xfId="487" xr:uid="{00000000-0005-0000-0000-000081010000}"/>
    <cellStyle name="Millares 2 5 4 4" xfId="578" xr:uid="{00000000-0005-0000-0000-000082010000}"/>
    <cellStyle name="Millares 2 5 5" xfId="252" xr:uid="{00000000-0005-0000-0000-000020010000}"/>
    <cellStyle name="Millares 2 5 5 2" xfId="332" xr:uid="{00000000-0005-0000-0000-000021010000}"/>
    <cellStyle name="Millares 2 5 5 3" xfId="603" xr:uid="{00000000-0005-0000-0000-000085010000}"/>
    <cellStyle name="Millares 2 5 6" xfId="366" xr:uid="{00000000-0005-0000-0000-000022010000}"/>
    <cellStyle name="Millares 2 5 7" xfId="401" xr:uid="{00000000-0005-0000-0000-000023010000}"/>
    <cellStyle name="Millares 2 5 8" xfId="275" xr:uid="{00000000-0005-0000-0000-000024010000}"/>
    <cellStyle name="Millares 2 5 9" xfId="440" xr:uid="{00000000-0005-0000-0000-000025010000}"/>
    <cellStyle name="Millares 2 6" xfId="181" xr:uid="{00000000-0005-0000-0000-000026010000}"/>
    <cellStyle name="Millares 2 6 2" xfId="208" xr:uid="{00000000-0005-0000-0000-000027010000}"/>
    <cellStyle name="Millares 2 6 2 2" xfId="315" xr:uid="{00000000-0005-0000-0000-000028010000}"/>
    <cellStyle name="Millares 2 6 2 2 2" xfId="518" xr:uid="{00000000-0005-0000-0000-00008B010000}"/>
    <cellStyle name="Millares 2 6 2 2 3" xfId="634" xr:uid="{00000000-0005-0000-0000-00008C010000}"/>
    <cellStyle name="Millares 2 6 2 3" xfId="468" xr:uid="{00000000-0005-0000-0000-00008D010000}"/>
    <cellStyle name="Millares 2 6 2 4" xfId="559" xr:uid="{00000000-0005-0000-0000-00008E010000}"/>
    <cellStyle name="Millares 2 6 3" xfId="233" xr:uid="{00000000-0005-0000-0000-000029010000}"/>
    <cellStyle name="Millares 2 6 3 2" xfId="349" xr:uid="{00000000-0005-0000-0000-00002A010000}"/>
    <cellStyle name="Millares 2 6 3 2 2" xfId="543" xr:uid="{00000000-0005-0000-0000-000091010000}"/>
    <cellStyle name="Millares 2 6 3 2 3" xfId="659" xr:uid="{00000000-0005-0000-0000-000092010000}"/>
    <cellStyle name="Millares 2 6 3 3" xfId="493" xr:uid="{00000000-0005-0000-0000-000093010000}"/>
    <cellStyle name="Millares 2 6 3 4" xfId="584" xr:uid="{00000000-0005-0000-0000-000094010000}"/>
    <cellStyle name="Millares 2 6 4" xfId="258" xr:uid="{00000000-0005-0000-0000-00002B010000}"/>
    <cellStyle name="Millares 2 6 4 2" xfId="383" xr:uid="{00000000-0005-0000-0000-00002C010000}"/>
    <cellStyle name="Millares 2 6 4 3" xfId="609" xr:uid="{00000000-0005-0000-0000-000097010000}"/>
    <cellStyle name="Millares 2 6 5" xfId="418" xr:uid="{00000000-0005-0000-0000-00002D010000}"/>
    <cellStyle name="Millares 2 6 6" xfId="281" xr:uid="{00000000-0005-0000-0000-00002E010000}"/>
    <cellStyle name="Millares 2 6 7" xfId="446" xr:uid="{00000000-0005-0000-0000-00002F010000}"/>
    <cellStyle name="Millares 2 7" xfId="183" xr:uid="{00000000-0005-0000-0000-000030010000}"/>
    <cellStyle name="Millares 2 7 2" xfId="210" xr:uid="{00000000-0005-0000-0000-000031010000}"/>
    <cellStyle name="Millares 2 7 2 2" xfId="317" xr:uid="{00000000-0005-0000-0000-000032010000}"/>
    <cellStyle name="Millares 2 7 2 2 2" xfId="520" xr:uid="{00000000-0005-0000-0000-00009D010000}"/>
    <cellStyle name="Millares 2 7 2 2 3" xfId="636" xr:uid="{00000000-0005-0000-0000-00009E010000}"/>
    <cellStyle name="Millares 2 7 2 3" xfId="470" xr:uid="{00000000-0005-0000-0000-00009F010000}"/>
    <cellStyle name="Millares 2 7 2 4" xfId="561" xr:uid="{00000000-0005-0000-0000-0000A0010000}"/>
    <cellStyle name="Millares 2 7 3" xfId="235" xr:uid="{00000000-0005-0000-0000-000033010000}"/>
    <cellStyle name="Millares 2 7 3 2" xfId="351" xr:uid="{00000000-0005-0000-0000-000034010000}"/>
    <cellStyle name="Millares 2 7 3 2 2" xfId="545" xr:uid="{00000000-0005-0000-0000-0000A3010000}"/>
    <cellStyle name="Millares 2 7 3 2 3" xfId="661" xr:uid="{00000000-0005-0000-0000-0000A4010000}"/>
    <cellStyle name="Millares 2 7 3 3" xfId="495" xr:uid="{00000000-0005-0000-0000-0000A5010000}"/>
    <cellStyle name="Millares 2 7 3 4" xfId="586" xr:uid="{00000000-0005-0000-0000-0000A6010000}"/>
    <cellStyle name="Millares 2 7 4" xfId="260" xr:uid="{00000000-0005-0000-0000-000035010000}"/>
    <cellStyle name="Millares 2 7 4 2" xfId="385" xr:uid="{00000000-0005-0000-0000-000036010000}"/>
    <cellStyle name="Millares 2 7 4 3" xfId="611" xr:uid="{00000000-0005-0000-0000-0000A9010000}"/>
    <cellStyle name="Millares 2 7 5" xfId="420" xr:uid="{00000000-0005-0000-0000-000037010000}"/>
    <cellStyle name="Millares 2 7 6" xfId="283" xr:uid="{00000000-0005-0000-0000-000038010000}"/>
    <cellStyle name="Millares 2 7 7" xfId="448" xr:uid="{00000000-0005-0000-0000-000039010000}"/>
    <cellStyle name="Millares 2 8" xfId="167" xr:uid="{00000000-0005-0000-0000-00003A010000}"/>
    <cellStyle name="Millares 2 8 2" xfId="196" xr:uid="{00000000-0005-0000-0000-00003B010000}"/>
    <cellStyle name="Millares 2 8 2 2" xfId="337" xr:uid="{00000000-0005-0000-0000-00003C010000}"/>
    <cellStyle name="Millares 2 8 2 2 2" xfId="506" xr:uid="{00000000-0005-0000-0000-0000AF010000}"/>
    <cellStyle name="Millares 2 8 2 2 3" xfId="622" xr:uid="{00000000-0005-0000-0000-0000B0010000}"/>
    <cellStyle name="Millares 2 8 2 3" xfId="463" xr:uid="{00000000-0005-0000-0000-0000B1010000}"/>
    <cellStyle name="Millares 2 8 2 4" xfId="554" xr:uid="{00000000-0005-0000-0000-0000B2010000}"/>
    <cellStyle name="Millares 2 8 3" xfId="221" xr:uid="{00000000-0005-0000-0000-00003D010000}"/>
    <cellStyle name="Millares 2 8 3 2" xfId="371" xr:uid="{00000000-0005-0000-0000-00003E010000}"/>
    <cellStyle name="Millares 2 8 3 2 2" xfId="531" xr:uid="{00000000-0005-0000-0000-0000B5010000}"/>
    <cellStyle name="Millares 2 8 3 2 3" xfId="647" xr:uid="{00000000-0005-0000-0000-0000B6010000}"/>
    <cellStyle name="Millares 2 8 3 3" xfId="481" xr:uid="{00000000-0005-0000-0000-0000B7010000}"/>
    <cellStyle name="Millares 2 8 3 4" xfId="572" xr:uid="{00000000-0005-0000-0000-0000B8010000}"/>
    <cellStyle name="Millares 2 8 4" xfId="246" xr:uid="{00000000-0005-0000-0000-00003F010000}"/>
    <cellStyle name="Millares 2 8 4 2" xfId="406" xr:uid="{00000000-0005-0000-0000-000040010000}"/>
    <cellStyle name="Millares 2 8 4 3" xfId="597" xr:uid="{00000000-0005-0000-0000-0000BB010000}"/>
    <cellStyle name="Millares 2 8 5" xfId="303" xr:uid="{00000000-0005-0000-0000-000041010000}"/>
    <cellStyle name="Millares 2 8 6" xfId="434" xr:uid="{00000000-0005-0000-0000-000042010000}"/>
    <cellStyle name="Millares 2 9" xfId="194" xr:uid="{00000000-0005-0000-0000-000043010000}"/>
    <cellStyle name="Millares 2 9 2" xfId="335" xr:uid="{00000000-0005-0000-0000-000044010000}"/>
    <cellStyle name="Millares 2 9 2 2" xfId="504" xr:uid="{00000000-0005-0000-0000-0000C0010000}"/>
    <cellStyle name="Millares 2 9 2 3" xfId="620" xr:uid="{00000000-0005-0000-0000-0000C1010000}"/>
    <cellStyle name="Millares 2 9 3" xfId="369" xr:uid="{00000000-0005-0000-0000-000045010000}"/>
    <cellStyle name="Millares 2 9 4" xfId="404" xr:uid="{00000000-0005-0000-0000-000046010000}"/>
    <cellStyle name="Millares 2 9 5" xfId="301" xr:uid="{00000000-0005-0000-0000-000047010000}"/>
    <cellStyle name="Moneda [0] 10" xfId="779" xr:uid="{00000000-0005-0000-0000-000010030000}"/>
    <cellStyle name="Moneda [0] 2" xfId="742" xr:uid="{00000000-0005-0000-0000-0000E9020000}"/>
    <cellStyle name="Moneda [0] 2 2" xfId="767" xr:uid="{00000000-0005-0000-0000-0000E7020000}"/>
    <cellStyle name="Moneda [0] 2 2 2" xfId="785" xr:uid="{00000000-0005-0000-0000-0000E7020000}"/>
    <cellStyle name="Moneda [0] 2 3" xfId="760" xr:uid="{00000000-0005-0000-0000-0000F2020000}"/>
    <cellStyle name="Moneda [0] 2 4" xfId="780" xr:uid="{00000000-0005-0000-0000-0000F2020000}"/>
    <cellStyle name="Moneda [0] 3" xfId="743" xr:uid="{00000000-0005-0000-0000-0000EC020000}"/>
    <cellStyle name="Moneda [0] 3 2" xfId="772" xr:uid="{00000000-0005-0000-0000-0000F2020000}"/>
    <cellStyle name="Moneda [0] 3 3" xfId="790" xr:uid="{00000000-0005-0000-0000-0000F2020000}"/>
    <cellStyle name="Moneda [0] 4" xfId="750" xr:uid="{00000000-0005-0000-0000-0000F5020000}"/>
    <cellStyle name="Moneda [0] 4 2" xfId="777" xr:uid="{00000000-0005-0000-0000-0000F7020000}"/>
    <cellStyle name="Moneda [0] 4 3" xfId="791" xr:uid="{00000000-0005-0000-0000-0000F7020000}"/>
    <cellStyle name="Moneda [0] 5" xfId="751" xr:uid="{00000000-0005-0000-0000-0000F4020000}"/>
    <cellStyle name="Moneda [0] 5 2" xfId="778" xr:uid="{00000000-0005-0000-0000-0000F8020000}"/>
    <cellStyle name="Moneda [0] 5 3" xfId="792" xr:uid="{00000000-0005-0000-0000-0000F8020000}"/>
    <cellStyle name="Moneda [0] 6" xfId="753" xr:uid="{00000000-0005-0000-0000-0000F6020000}"/>
    <cellStyle name="Moneda [0] 7" xfId="755" xr:uid="{00000000-0005-0000-0000-0000F8020000}"/>
    <cellStyle name="Moneda [0] 8" xfId="756" xr:uid="{00000000-0005-0000-0000-0000F9020000}"/>
    <cellStyle name="Moneda [0] 9" xfId="757" xr:uid="{00000000-0005-0000-0000-0000FC020000}"/>
    <cellStyle name="Moneda 2" xfId="394" xr:uid="{00000000-0005-0000-0000-000049010000}"/>
    <cellStyle name="Moneda 2 2" xfId="429" xr:uid="{00000000-0005-0000-0000-00004A010000}"/>
    <cellStyle name="Moneda 2 3" xfId="730" xr:uid="{00000000-0005-0000-0000-000038000000}"/>
    <cellStyle name="Moneda 3" xfId="430" xr:uid="{00000000-0005-0000-0000-00004B010000}"/>
    <cellStyle name="Moneda 4" xfId="758" xr:uid="{00000000-0005-0000-0000-000026000000}"/>
    <cellStyle name="Moneda 5" xfId="759" xr:uid="{00000000-0005-0000-0000-000027000000}"/>
    <cellStyle name="Neutral 2" xfId="670" xr:uid="{00000000-0005-0000-0000-000092020000}"/>
    <cellStyle name="Neutral 3" xfId="70" xr:uid="{00000000-0005-0000-0000-000048020000}"/>
    <cellStyle name="Normal" xfId="0" builtinId="0"/>
    <cellStyle name="Normal 10" xfId="39" xr:uid="{00000000-0005-0000-0000-00004E010000}"/>
    <cellStyle name="Normal 10 2" xfId="122" xr:uid="{00000000-0005-0000-0000-00004F010000}"/>
    <cellStyle name="Normal 10 3" xfId="106" xr:uid="{00000000-0005-0000-0000-000050010000}"/>
    <cellStyle name="Normal 10 4" xfId="707" xr:uid="{00000000-0005-0000-0000-00003E000000}"/>
    <cellStyle name="Normal 10 5" xfId="690" xr:uid="{00000000-0005-0000-0000-00003B000000}"/>
    <cellStyle name="Normal 11" xfId="40" xr:uid="{00000000-0005-0000-0000-000051010000}"/>
    <cellStyle name="Normal 11 2" xfId="123" xr:uid="{00000000-0005-0000-0000-000052010000}"/>
    <cellStyle name="Normal 11 3" xfId="105" xr:uid="{00000000-0005-0000-0000-000053010000}"/>
    <cellStyle name="Normal 11 3 2" xfId="156" xr:uid="{00000000-0005-0000-0000-000054010000}"/>
    <cellStyle name="Normal 11 3 2 2" xfId="734" xr:uid="{00000000-0005-0000-0000-000026010000}"/>
    <cellStyle name="Normal 11 3 2 3" xfId="715" xr:uid="{00000000-0005-0000-0000-000042000000}"/>
    <cellStyle name="Normal 11 3 3" xfId="140" xr:uid="{00000000-0005-0000-0000-000055010000}"/>
    <cellStyle name="Normal 11 4" xfId="704" xr:uid="{00000000-0005-0000-0000-000043000000}"/>
    <cellStyle name="Normal 11 5" xfId="689" xr:uid="{00000000-0005-0000-0000-00003F000000}"/>
    <cellStyle name="Normal 12" xfId="41" xr:uid="{00000000-0005-0000-0000-000056010000}"/>
    <cellStyle name="Normal 12 2" xfId="124" xr:uid="{00000000-0005-0000-0000-000057010000}"/>
    <cellStyle name="Normal 12 3" xfId="115" xr:uid="{00000000-0005-0000-0000-000058010000}"/>
    <cellStyle name="Normal 13" xfId="42" xr:uid="{00000000-0005-0000-0000-000059010000}"/>
    <cellStyle name="Normal 13 2" xfId="141" xr:uid="{00000000-0005-0000-0000-00005A010000}"/>
    <cellStyle name="Normal 14" xfId="43" xr:uid="{00000000-0005-0000-0000-00005B010000}"/>
    <cellStyle name="Normal 14 2" xfId="142" xr:uid="{00000000-0005-0000-0000-00005C010000}"/>
    <cellStyle name="Normal 15" xfId="44" xr:uid="{00000000-0005-0000-0000-00005D010000}"/>
    <cellStyle name="Normal 15 2" xfId="143" xr:uid="{00000000-0005-0000-0000-00005E010000}"/>
    <cellStyle name="Normal 16" xfId="45" xr:uid="{00000000-0005-0000-0000-00005F010000}"/>
    <cellStyle name="Normal 16 2" xfId="144" xr:uid="{00000000-0005-0000-0000-000060010000}"/>
    <cellStyle name="Normal 17" xfId="54" xr:uid="{00000000-0005-0000-0000-000061010000}"/>
    <cellStyle name="Normal 17 2" xfId="131" xr:uid="{00000000-0005-0000-0000-000062010000}"/>
    <cellStyle name="Normal 17 3" xfId="130" xr:uid="{00000000-0005-0000-0000-000063010000}"/>
    <cellStyle name="Normal 17 4" xfId="129" xr:uid="{00000000-0005-0000-0000-000064010000}"/>
    <cellStyle name="Normal 18" xfId="53" xr:uid="{00000000-0005-0000-0000-000065010000}"/>
    <cellStyle name="Normal 18 2" xfId="145" xr:uid="{00000000-0005-0000-0000-000066010000}"/>
    <cellStyle name="Normal 19" xfId="67" xr:uid="{00000000-0005-0000-0000-000067010000}"/>
    <cellStyle name="Normal 19 2" xfId="146" xr:uid="{00000000-0005-0000-0000-000068010000}"/>
    <cellStyle name="Normal 19 3" xfId="696" xr:uid="{00000000-0005-0000-0000-000057000000}"/>
    <cellStyle name="Normal 2" xfId="37" xr:uid="{00000000-0005-0000-0000-000069010000}"/>
    <cellStyle name="Normal 2 2" xfId="88" xr:uid="{00000000-0005-0000-0000-00006A010000}"/>
    <cellStyle name="Normal 2 2 2" xfId="89" xr:uid="{00000000-0005-0000-0000-00006B010000}"/>
    <cellStyle name="Normal 2 2 3" xfId="135" xr:uid="{00000000-0005-0000-0000-00006C010000}"/>
    <cellStyle name="Normal 2 2 3 2" xfId="723" xr:uid="{00000000-0005-0000-0000-00005C000000}"/>
    <cellStyle name="Normal 2 2 3 3" xfId="713" xr:uid="{00000000-0005-0000-0000-00005D000000}"/>
    <cellStyle name="Normal 2 2 4" xfId="710" xr:uid="{00000000-0005-0000-0000-00005E000000}"/>
    <cellStyle name="Normal 2 2 5" xfId="678" xr:uid="{00000000-0005-0000-0000-000059000000}"/>
    <cellStyle name="Normal 2 3" xfId="90" xr:uid="{00000000-0005-0000-0000-00006D010000}"/>
    <cellStyle name="Normal 2 3 2" xfId="151" xr:uid="{00000000-0005-0000-0000-00006E010000}"/>
    <cellStyle name="Normal 2 3 3" xfId="679" xr:uid="{00000000-0005-0000-0000-00005F000000}"/>
    <cellStyle name="Normal 2 4" xfId="91" xr:uid="{00000000-0005-0000-0000-00006F010000}"/>
    <cellStyle name="Normal 2 5" xfId="108" xr:uid="{00000000-0005-0000-0000-000070010000}"/>
    <cellStyle name="Normal 2 6" xfId="109" xr:uid="{00000000-0005-0000-0000-000071010000}"/>
    <cellStyle name="Normal 2 7" xfId="107" xr:uid="{00000000-0005-0000-0000-000072010000}"/>
    <cellStyle name="Normal 2 8" xfId="104" xr:uid="{00000000-0005-0000-0000-000073010000}"/>
    <cellStyle name="Normal 2 9" xfId="114" xr:uid="{00000000-0005-0000-0000-000074010000}"/>
    <cellStyle name="Normal 2 9 2" xfId="717" xr:uid="{00000000-0005-0000-0000-000066000000}"/>
    <cellStyle name="Normal 20" xfId="68" xr:uid="{00000000-0005-0000-0000-000075010000}"/>
    <cellStyle name="Normal 20 2" xfId="132" xr:uid="{00000000-0005-0000-0000-000076010000}"/>
    <cellStyle name="Normal 20 3" xfId="136" xr:uid="{00000000-0005-0000-0000-000077010000}"/>
    <cellStyle name="Normal 20 3 2" xfId="733" xr:uid="{00000000-0005-0000-0000-00006A000000}"/>
    <cellStyle name="Normal 20 4" xfId="193" xr:uid="{00000000-0005-0000-0000-000078010000}"/>
    <cellStyle name="Normal 21" xfId="69" xr:uid="{00000000-0005-0000-0000-000079010000}"/>
    <cellStyle name="Normal 21 2" xfId="147" xr:uid="{00000000-0005-0000-0000-00007A010000}"/>
    <cellStyle name="Normal 21 3" xfId="133" xr:uid="{00000000-0005-0000-0000-00007B010000}"/>
    <cellStyle name="Normal 21 3 2" xfId="708" xr:uid="{00000000-0005-0000-0000-00006E000000}"/>
    <cellStyle name="Normal 21 3 3" xfId="741" xr:uid="{00000000-0005-0000-0000-00007B010000}"/>
    <cellStyle name="Normal 22" xfId="134" xr:uid="{00000000-0005-0000-0000-00007C010000}"/>
    <cellStyle name="Normal 22 2" xfId="137" xr:uid="{00000000-0005-0000-0000-00007D010000}"/>
    <cellStyle name="Normal 23" xfId="149" xr:uid="{00000000-0005-0000-0000-00007E010000}"/>
    <cellStyle name="Normal 23 2" xfId="157" xr:uid="{00000000-0005-0000-0000-00007F010000}"/>
    <cellStyle name="Normal 24" xfId="150" xr:uid="{00000000-0005-0000-0000-000080010000}"/>
    <cellStyle name="Normal 24 2" xfId="158" xr:uid="{00000000-0005-0000-0000-000081010000}"/>
    <cellStyle name="Normal 25" xfId="153" xr:uid="{00000000-0005-0000-0000-000082010000}"/>
    <cellStyle name="Normal 25 2" xfId="159" xr:uid="{00000000-0005-0000-0000-000083010000}"/>
    <cellStyle name="Normal 26" xfId="55" xr:uid="{00000000-0005-0000-0000-000084010000}"/>
    <cellStyle name="Normal 26 2" xfId="160" xr:uid="{00000000-0005-0000-0000-000085010000}"/>
    <cellStyle name="Normal 26 3" xfId="154" xr:uid="{00000000-0005-0000-0000-000086010000}"/>
    <cellStyle name="Normal 27" xfId="155" xr:uid="{00000000-0005-0000-0000-000087010000}"/>
    <cellStyle name="Normal 27 2" xfId="161" xr:uid="{00000000-0005-0000-0000-000088010000}"/>
    <cellStyle name="Normal 27 3" xfId="458" xr:uid="{00000000-0005-0000-0000-0000F4010000}"/>
    <cellStyle name="Normal 27 4" xfId="738" xr:uid="{00000000-0005-0000-0000-0000F2010000}"/>
    <cellStyle name="Normal 27 4 2" xfId="740" xr:uid="{00000000-0005-0000-0000-0000F2010000}"/>
    <cellStyle name="Normal 27 4 2 2" xfId="748" xr:uid="{00000000-0005-0000-0000-0000F2010000}"/>
    <cellStyle name="Normal 27 4 2 2 2" xfId="776" xr:uid="{00000000-0005-0000-0000-0000F2010000}"/>
    <cellStyle name="Normal 27 4 2 2 3" xfId="771" xr:uid="{00000000-0005-0000-0000-0000F2010000}"/>
    <cellStyle name="Normal 27 4 2 2 3 2" xfId="789" xr:uid="{00000000-0005-0000-0000-0000F2010000}"/>
    <cellStyle name="Normal 27 4 2 3" xfId="766" xr:uid="{00000000-0005-0000-0000-0000F2010000}"/>
    <cellStyle name="Normal 27 4 2 4" xfId="764" xr:uid="{00000000-0005-0000-0000-0000F2010000}"/>
    <cellStyle name="Normal 27 4 2 4 2" xfId="784" xr:uid="{00000000-0005-0000-0000-0000F2010000}"/>
    <cellStyle name="Normal 27 4 3" xfId="746" xr:uid="{00000000-0005-0000-0000-0000F2010000}"/>
    <cellStyle name="Normal 27 4 4" xfId="745" xr:uid="{00000000-0005-0000-0000-0000F2010000}"/>
    <cellStyle name="Normal 27 4 4 2" xfId="774" xr:uid="{00000000-0005-0000-0000-0000F2010000}"/>
    <cellStyle name="Normal 27 4 4 3" xfId="769" xr:uid="{00000000-0005-0000-0000-0000F2010000}"/>
    <cellStyle name="Normal 27 4 4 3 2" xfId="787" xr:uid="{00000000-0005-0000-0000-0000F2010000}"/>
    <cellStyle name="Normal 27 4 5" xfId="752" xr:uid="{00000000-0005-0000-0000-0000F2010000}"/>
    <cellStyle name="Normal 27 4 5 2" xfId="754" xr:uid="{00000000-0005-0000-0000-0000F2010000}"/>
    <cellStyle name="Normal 27 4 6" xfId="762" xr:uid="{00000000-0005-0000-0000-0000F2010000}"/>
    <cellStyle name="Normal 27 4 6 2" xfId="782" xr:uid="{00000000-0005-0000-0000-0000F2010000}"/>
    <cellStyle name="Normal 27 5" xfId="739" xr:uid="{00000000-0005-0000-0000-0000F2010000}"/>
    <cellStyle name="Normal 27 5 2" xfId="747" xr:uid="{00000000-0005-0000-0000-0000F2010000}"/>
    <cellStyle name="Normal 27 5 2 2" xfId="775" xr:uid="{00000000-0005-0000-0000-0000F2010000}"/>
    <cellStyle name="Normal 27 5 2 3" xfId="770" xr:uid="{00000000-0005-0000-0000-0000F2010000}"/>
    <cellStyle name="Normal 27 5 2 3 2" xfId="788" xr:uid="{00000000-0005-0000-0000-0000F2010000}"/>
    <cellStyle name="Normal 27 5 3" xfId="765" xr:uid="{00000000-0005-0000-0000-0000F2010000}"/>
    <cellStyle name="Normal 27 5 4" xfId="763" xr:uid="{00000000-0005-0000-0000-0000F2010000}"/>
    <cellStyle name="Normal 27 5 4 2" xfId="783" xr:uid="{00000000-0005-0000-0000-0000F2010000}"/>
    <cellStyle name="Normal 27 6" xfId="744" xr:uid="{00000000-0005-0000-0000-0000F2010000}"/>
    <cellStyle name="Normal 27 6 2" xfId="773" xr:uid="{00000000-0005-0000-0000-0000F2010000}"/>
    <cellStyle name="Normal 27 6 3" xfId="768" xr:uid="{00000000-0005-0000-0000-0000F2010000}"/>
    <cellStyle name="Normal 27 6 3 2" xfId="786" xr:uid="{00000000-0005-0000-0000-0000F2010000}"/>
    <cellStyle name="Normal 27 7" xfId="761" xr:uid="{00000000-0005-0000-0000-0000F2010000}"/>
    <cellStyle name="Normal 27 7 2" xfId="781" xr:uid="{00000000-0005-0000-0000-0000F2010000}"/>
    <cellStyle name="Normal 28" xfId="56" xr:uid="{00000000-0005-0000-0000-000089010000}"/>
    <cellStyle name="Normal 28 2" xfId="165" xr:uid="{00000000-0005-0000-0000-00008A010000}"/>
    <cellStyle name="Normal 28 3" xfId="192" xr:uid="{00000000-0005-0000-0000-00008B010000}"/>
    <cellStyle name="Normal 28 3 2" xfId="457" xr:uid="{00000000-0005-0000-0000-00008C010000}"/>
    <cellStyle name="Normal 28 3 2 2" xfId="462" xr:uid="{00000000-0005-0000-0000-0000F8010000}"/>
    <cellStyle name="Normal 28 4" xfId="431" xr:uid="{00000000-0005-0000-0000-00008D010000}"/>
    <cellStyle name="Normal 28 4 2" xfId="735" xr:uid="{00000000-0005-0000-0000-000053010000}"/>
    <cellStyle name="Normal 29" xfId="162" xr:uid="{00000000-0005-0000-0000-00008E010000}"/>
    <cellStyle name="Normal 29 2" xfId="166" xr:uid="{00000000-0005-0000-0000-00008F010000}"/>
    <cellStyle name="Normal 29 3" xfId="170" xr:uid="{00000000-0005-0000-0000-000090010000}"/>
    <cellStyle name="Normal 29 4" xfId="169" xr:uid="{00000000-0005-0000-0000-000091010000}"/>
    <cellStyle name="Normal 29 4 2" xfId="461" xr:uid="{00000000-0005-0000-0000-0000FD010000}"/>
    <cellStyle name="Normal 3" xfId="1" xr:uid="{790255FE-8434-4B9A-88FA-F6D75E8889A1}"/>
    <cellStyle name="Normal 3 2" xfId="38" xr:uid="{00000000-0005-0000-0000-000093010000}"/>
    <cellStyle name="Normal 3 2 2" xfId="121" xr:uid="{00000000-0005-0000-0000-000094010000}"/>
    <cellStyle name="Normal 3 2 3" xfId="92" xr:uid="{00000000-0005-0000-0000-000095010000}"/>
    <cellStyle name="Normal 3 2 4" xfId="697" xr:uid="{00000000-0005-0000-0000-00007A000000}"/>
    <cellStyle name="Normal 3 2 5" xfId="680" xr:uid="{00000000-0005-0000-0000-000077000000}"/>
    <cellStyle name="Normal 3 3" xfId="60" xr:uid="{00000000-0005-0000-0000-000096010000}"/>
    <cellStyle name="Normal 3 3 2" xfId="120" xr:uid="{00000000-0005-0000-0000-000097010000}"/>
    <cellStyle name="Normal 3 3 2 2" xfId="138" xr:uid="{00000000-0005-0000-0000-000098010000}"/>
    <cellStyle name="Normal 3 3 2 2 2" xfId="724" xr:uid="{00000000-0005-0000-0000-00007E000000}"/>
    <cellStyle name="Normal 3 3 2 2 3" xfId="719" xr:uid="{00000000-0005-0000-0000-00007F000000}"/>
    <cellStyle name="Normal 3 3 2 3" xfId="699" xr:uid="{00000000-0005-0000-0000-000080000000}"/>
    <cellStyle name="Normal 3 3 2 4" xfId="693" xr:uid="{00000000-0005-0000-0000-00007C000000}"/>
    <cellStyle name="Normal 3 3 3" xfId="93" xr:uid="{00000000-0005-0000-0000-000099010000}"/>
    <cellStyle name="Normal 3 3 3 2" xfId="736" xr:uid="{00000000-0005-0000-0000-000002020000}"/>
    <cellStyle name="Normal 3 3 3 3" xfId="714" xr:uid="{00000000-0005-0000-0000-000081000000}"/>
    <cellStyle name="Normal 3 3 3 4" xfId="459" xr:uid="{00000000-0005-0000-0000-000002020000}"/>
    <cellStyle name="Normal 3 3 4" xfId="702" xr:uid="{00000000-0005-0000-0000-000082000000}"/>
    <cellStyle name="Normal 3 3 5" xfId="681" xr:uid="{00000000-0005-0000-0000-00007B000000}"/>
    <cellStyle name="Normal 3 4" xfId="110" xr:uid="{00000000-0005-0000-0000-00009A010000}"/>
    <cellStyle name="Normal 3 4 2" xfId="148" xr:uid="{00000000-0005-0000-0000-00009B010000}"/>
    <cellStyle name="Normal 3 4 2 2" xfId="725" xr:uid="{00000000-0005-0000-0000-000085000000}"/>
    <cellStyle name="Normal 3 4 2 3" xfId="716" xr:uid="{00000000-0005-0000-0000-000086000000}"/>
    <cellStyle name="Normal 3 4 3" xfId="694" xr:uid="{00000000-0005-0000-0000-000087000000}"/>
    <cellStyle name="Normal 3 4 4" xfId="691" xr:uid="{00000000-0005-0000-0000-000083000000}"/>
    <cellStyle name="Normal 3 5" xfId="35" xr:uid="{00000000-0005-0000-0000-000092010000}"/>
    <cellStyle name="Normal 30" xfId="737" xr:uid="{00000000-0005-0000-0000-0000E6020000}"/>
    <cellStyle name="Normal 34" xfId="749" xr:uid="{2691BE3C-894D-4C33-95A7-61BC84EC34E1}"/>
    <cellStyle name="Normal 4" xfId="46" xr:uid="{00000000-0005-0000-0000-00009C010000}"/>
    <cellStyle name="Normal 4 2" xfId="61" xr:uid="{00000000-0005-0000-0000-00009D010000}"/>
    <cellStyle name="Normal 4 2 2" xfId="125" xr:uid="{00000000-0005-0000-0000-00009E010000}"/>
    <cellStyle name="Normal 4 2 3" xfId="94" xr:uid="{00000000-0005-0000-0000-00009F010000}"/>
    <cellStyle name="Normal 4 2 4" xfId="722" xr:uid="{00000000-0005-0000-0000-00008C000000}"/>
    <cellStyle name="Normal 4 2 5" xfId="682" xr:uid="{00000000-0005-0000-0000-000089000000}"/>
    <cellStyle name="Normal 4 3" xfId="57" xr:uid="{00000000-0005-0000-0000-0000A0010000}"/>
    <cellStyle name="Normal 4 3 2" xfId="95" xr:uid="{00000000-0005-0000-0000-0000A1010000}"/>
    <cellStyle name="Normal 4 3 3" xfId="460" xr:uid="{00000000-0005-0000-0000-000008020000}"/>
    <cellStyle name="Normal 5" xfId="47" xr:uid="{00000000-0005-0000-0000-0000A2010000}"/>
    <cellStyle name="Normal 5 2" xfId="62" xr:uid="{00000000-0005-0000-0000-0000A3010000}"/>
    <cellStyle name="Normal 5 2 2" xfId="126" xr:uid="{00000000-0005-0000-0000-0000A4010000}"/>
    <cellStyle name="Normal 5 2 3" xfId="97" xr:uid="{00000000-0005-0000-0000-0000A5010000}"/>
    <cellStyle name="Normal 5 2 4" xfId="700" xr:uid="{00000000-0005-0000-0000-000094000000}"/>
    <cellStyle name="Normal 5 2 5" xfId="684" xr:uid="{00000000-0005-0000-0000-000091000000}"/>
    <cellStyle name="Normal 5 3" xfId="117" xr:uid="{00000000-0005-0000-0000-0000A6010000}"/>
    <cellStyle name="Normal 5 4" xfId="96" xr:uid="{00000000-0005-0000-0000-0000A7010000}"/>
    <cellStyle name="Normal 5 5" xfId="698" xr:uid="{00000000-0005-0000-0000-000097000000}"/>
    <cellStyle name="Normal 5 6" xfId="683" xr:uid="{00000000-0005-0000-0000-000090000000}"/>
    <cellStyle name="Normal 6" xfId="48" xr:uid="{00000000-0005-0000-0000-0000A8010000}"/>
    <cellStyle name="Normal 6 2" xfId="63" xr:uid="{00000000-0005-0000-0000-0000A9010000}"/>
    <cellStyle name="Normal 6 2 2" xfId="127" xr:uid="{00000000-0005-0000-0000-0000AA010000}"/>
    <cellStyle name="Normal 6 2 3" xfId="99" xr:uid="{00000000-0005-0000-0000-0000AB010000}"/>
    <cellStyle name="Normal 6 2 4" xfId="695" xr:uid="{00000000-0005-0000-0000-00009C000000}"/>
    <cellStyle name="Normal 6 2 5" xfId="686" xr:uid="{00000000-0005-0000-0000-000099000000}"/>
    <cellStyle name="Normal 6 3" xfId="58" xr:uid="{00000000-0005-0000-0000-0000AC010000}"/>
    <cellStyle name="Normal 6 4" xfId="98" xr:uid="{00000000-0005-0000-0000-0000AD010000}"/>
    <cellStyle name="Normal 6 5" xfId="701" xr:uid="{00000000-0005-0000-0000-00009F000000}"/>
    <cellStyle name="Normal 6 6" xfId="685" xr:uid="{00000000-0005-0000-0000-000098000000}"/>
    <cellStyle name="Normal 7" xfId="49" xr:uid="{00000000-0005-0000-0000-0000AE010000}"/>
    <cellStyle name="Normal 7 2" xfId="64" xr:uid="{00000000-0005-0000-0000-0000AF010000}"/>
    <cellStyle name="Normal 7 3" xfId="118" xr:uid="{00000000-0005-0000-0000-0000B0010000}"/>
    <cellStyle name="Normal 7 4" xfId="100" xr:uid="{00000000-0005-0000-0000-0000B1010000}"/>
    <cellStyle name="Normal 7 5" xfId="709" xr:uid="{00000000-0005-0000-0000-0000A4000000}"/>
    <cellStyle name="Normal 7 6" xfId="687" xr:uid="{00000000-0005-0000-0000-0000A0000000}"/>
    <cellStyle name="Normal 8" xfId="50" xr:uid="{00000000-0005-0000-0000-0000B2010000}"/>
    <cellStyle name="Normal 8 2" xfId="65" xr:uid="{00000000-0005-0000-0000-0000B3010000}"/>
    <cellStyle name="Normal 8 3" xfId="59" xr:uid="{00000000-0005-0000-0000-0000B4010000}"/>
    <cellStyle name="Normal 8 4" xfId="116" xr:uid="{00000000-0005-0000-0000-0000B5010000}"/>
    <cellStyle name="Normal 8 5" xfId="101" xr:uid="{00000000-0005-0000-0000-0000B6010000}"/>
    <cellStyle name="Normal 8 6" xfId="703" xr:uid="{00000000-0005-0000-0000-0000AA000000}"/>
    <cellStyle name="Normal 8 7" xfId="688" xr:uid="{00000000-0005-0000-0000-0000A5000000}"/>
    <cellStyle name="Normal 9" xfId="51" xr:uid="{00000000-0005-0000-0000-0000B7010000}"/>
    <cellStyle name="Normal 9 2" xfId="66" xr:uid="{00000000-0005-0000-0000-0000B8010000}"/>
    <cellStyle name="Normal 9 2 2" xfId="128" xr:uid="{00000000-0005-0000-0000-0000B9010000}"/>
    <cellStyle name="Normal 9 2 3" xfId="111" xr:uid="{00000000-0005-0000-0000-0000BA010000}"/>
    <cellStyle name="Normal 9 2 4" xfId="705" xr:uid="{00000000-0005-0000-0000-0000AF000000}"/>
    <cellStyle name="Normal 9 2 5" xfId="692" xr:uid="{00000000-0005-0000-0000-0000AC000000}"/>
    <cellStyle name="Normal 9 3" xfId="113" xr:uid="{00000000-0005-0000-0000-0000BB010000}"/>
    <cellStyle name="Normal 9 3 2" xfId="139" xr:uid="{00000000-0005-0000-0000-0000BC010000}"/>
    <cellStyle name="Normal 9 4" xfId="119" xr:uid="{00000000-0005-0000-0000-0000BD010000}"/>
    <cellStyle name="Normal 9 4 2" xfId="718" xr:uid="{00000000-0005-0000-0000-0000B3000000}"/>
    <cellStyle name="Notas" xfId="14" builtinId="10" customBuiltin="1"/>
    <cellStyle name="Notas 2" xfId="112" xr:uid="{00000000-0005-0000-0000-0000BF010000}"/>
    <cellStyle name="Porcentaje 2" xfId="152" xr:uid="{00000000-0005-0000-0000-0000C1010000}"/>
    <cellStyle name="Porcentual 2" xfId="102" xr:uid="{00000000-0005-0000-0000-0000C2010000}"/>
    <cellStyle name="Porcentual 2 2" xfId="103" xr:uid="{00000000-0005-0000-0000-0000C3010000}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3" builtinId="17" customBuiltin="1"/>
    <cellStyle name="Título 3" xfId="4" builtinId="18" customBuiltin="1"/>
    <cellStyle name="Título 4" xfId="77" xr:uid="{00000000-0005-0000-0000-0000C9010000}"/>
    <cellStyle name="Título 5" xfId="706" xr:uid="{00000000-0005-0000-0000-0000BF000000}"/>
    <cellStyle name="Título 6" xfId="677" xr:uid="{00000000-0005-0000-0000-0000C0000000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A596-26BA-45C0-86D0-195FD3B509BE}">
  <dimension ref="A1:J779"/>
  <sheetViews>
    <sheetView tabSelected="1" zoomScale="130" zoomScaleNormal="130" workbookViewId="0">
      <pane ySplit="1" topLeftCell="A2" activePane="bottomLeft" state="frozen"/>
      <selection pane="bottomLeft" activeCell="D11" sqref="D11"/>
    </sheetView>
  </sheetViews>
  <sheetFormatPr baseColWidth="10" defaultColWidth="11.42578125" defaultRowHeight="15"/>
  <cols>
    <col min="2" max="2" width="22.85546875" style="7" customWidth="1"/>
    <col min="4" max="4" width="13.7109375" customWidth="1"/>
    <col min="5" max="6" width="19" style="8" customWidth="1"/>
    <col min="7" max="7" width="18.42578125" bestFit="1" customWidth="1"/>
    <col min="8" max="8" width="18.5703125" bestFit="1" customWidth="1"/>
    <col min="9" max="9" width="24.5703125" customWidth="1"/>
    <col min="10" max="10" width="20" customWidth="1"/>
  </cols>
  <sheetData>
    <row r="1" spans="1:10">
      <c r="A1" t="s">
        <v>0</v>
      </c>
      <c r="B1" s="7" t="s">
        <v>1</v>
      </c>
      <c r="C1" t="s">
        <v>2</v>
      </c>
      <c r="D1" t="s">
        <v>3</v>
      </c>
      <c r="E1" s="8" t="s">
        <v>4</v>
      </c>
      <c r="F1" s="8" t="s">
        <v>5</v>
      </c>
      <c r="G1" t="s">
        <v>6</v>
      </c>
      <c r="H1" t="s">
        <v>7</v>
      </c>
      <c r="I1" s="9" t="s">
        <v>8</v>
      </c>
      <c r="J1" t="s">
        <v>9</v>
      </c>
    </row>
    <row r="2" spans="1:10">
      <c r="A2">
        <v>5107</v>
      </c>
      <c r="B2" s="7" t="s">
        <v>21</v>
      </c>
      <c r="C2">
        <v>1</v>
      </c>
      <c r="D2">
        <v>125060751</v>
      </c>
      <c r="E2" s="8">
        <v>45819.836111111108</v>
      </c>
      <c r="F2" s="8">
        <v>45822.336111111108</v>
      </c>
      <c r="G2">
        <v>1</v>
      </c>
      <c r="H2">
        <v>2</v>
      </c>
      <c r="I2" t="str">
        <f t="shared" ref="I2:I54" si="0">"6307"&amp;MID(B2,7,18)&amp;A2</f>
        <v>63072025061100645107</v>
      </c>
      <c r="J2" t="str">
        <f>VLOOKUP(A2,Comuna_empresa!B:E,4,0)</f>
        <v>Quintero</v>
      </c>
    </row>
    <row r="3" spans="1:10">
      <c r="A3">
        <v>5107</v>
      </c>
      <c r="B3" s="7" t="s">
        <v>22</v>
      </c>
      <c r="C3">
        <v>1</v>
      </c>
      <c r="D3">
        <v>125060752</v>
      </c>
      <c r="E3" s="8">
        <v>45819.836111111108</v>
      </c>
      <c r="F3" s="8">
        <v>45822.336111111108</v>
      </c>
      <c r="G3">
        <v>1</v>
      </c>
      <c r="H3">
        <v>2</v>
      </c>
      <c r="I3" t="str">
        <f t="shared" si="0"/>
        <v>63072025061101215107</v>
      </c>
      <c r="J3" t="str">
        <f>VLOOKUP(A3,Comuna_empresa!B:E,4,0)</f>
        <v>Quintero</v>
      </c>
    </row>
    <row r="4" spans="1:10">
      <c r="A4">
        <v>5107</v>
      </c>
      <c r="B4" s="7" t="s">
        <v>10</v>
      </c>
      <c r="C4">
        <v>1</v>
      </c>
      <c r="D4">
        <v>125060753</v>
      </c>
      <c r="E4" s="8">
        <v>45819.836111111108</v>
      </c>
      <c r="F4" s="8">
        <v>45822.336111111108</v>
      </c>
      <c r="G4">
        <v>4</v>
      </c>
      <c r="H4">
        <v>2</v>
      </c>
      <c r="I4" t="str">
        <f t="shared" si="0"/>
        <v>63072025061101335107</v>
      </c>
      <c r="J4" t="str">
        <f>VLOOKUP(A4,Comuna_empresa!B:E,4,0)</f>
        <v>Quintero</v>
      </c>
    </row>
    <row r="5" spans="1:10">
      <c r="A5">
        <v>5107</v>
      </c>
      <c r="B5" s="7" t="s">
        <v>10</v>
      </c>
      <c r="C5">
        <v>2</v>
      </c>
      <c r="D5">
        <v>125060754</v>
      </c>
      <c r="E5" s="8">
        <v>45819.836111111108</v>
      </c>
      <c r="F5" s="8">
        <v>45822.336111111108</v>
      </c>
      <c r="G5">
        <v>4</v>
      </c>
      <c r="H5">
        <v>2</v>
      </c>
      <c r="I5" t="str">
        <f t="shared" si="0"/>
        <v>63072025061101335107</v>
      </c>
      <c r="J5" t="str">
        <f>VLOOKUP(A5,Comuna_empresa!B:E,4,0)</f>
        <v>Quintero</v>
      </c>
    </row>
    <row r="6" spans="1:10">
      <c r="A6">
        <v>5107</v>
      </c>
      <c r="B6" s="7" t="s">
        <v>10</v>
      </c>
      <c r="C6">
        <v>3</v>
      </c>
      <c r="D6">
        <v>125060755</v>
      </c>
      <c r="E6" s="8">
        <v>45819.836111111108</v>
      </c>
      <c r="F6" s="8">
        <v>45822.336111111108</v>
      </c>
      <c r="G6">
        <v>4</v>
      </c>
      <c r="H6">
        <v>2</v>
      </c>
      <c r="I6" t="str">
        <f t="shared" si="0"/>
        <v>63072025061101335107</v>
      </c>
      <c r="J6" t="str">
        <f>VLOOKUP(A6,Comuna_empresa!B:E,4,0)</f>
        <v>Quintero</v>
      </c>
    </row>
    <row r="7" spans="1:10">
      <c r="A7">
        <v>5107</v>
      </c>
      <c r="B7" s="7" t="s">
        <v>10</v>
      </c>
      <c r="C7">
        <v>4</v>
      </c>
      <c r="D7">
        <v>125060756</v>
      </c>
      <c r="E7" s="8">
        <v>45819.836111111108</v>
      </c>
      <c r="F7" s="8">
        <v>45822.336111111108</v>
      </c>
      <c r="G7">
        <v>4</v>
      </c>
      <c r="H7">
        <v>2</v>
      </c>
      <c r="I7" t="str">
        <f t="shared" si="0"/>
        <v>63072025061101335107</v>
      </c>
      <c r="J7" t="str">
        <f>VLOOKUP(A7,Comuna_empresa!B:E,4,0)</f>
        <v>Quintero</v>
      </c>
    </row>
    <row r="8" spans="1:10">
      <c r="A8">
        <v>5107</v>
      </c>
      <c r="B8" s="7" t="s">
        <v>10</v>
      </c>
      <c r="C8">
        <v>5</v>
      </c>
      <c r="D8">
        <v>125060757</v>
      </c>
      <c r="E8" s="8">
        <v>45819.836111111108</v>
      </c>
      <c r="F8" s="8">
        <v>45822.336111111108</v>
      </c>
      <c r="G8">
        <v>4</v>
      </c>
      <c r="H8">
        <v>2</v>
      </c>
      <c r="I8" t="str">
        <f t="shared" si="0"/>
        <v>63072025061101335107</v>
      </c>
      <c r="J8" t="str">
        <f>VLOOKUP(A8,Comuna_empresa!B:E,4,0)</f>
        <v>Quintero</v>
      </c>
    </row>
    <row r="9" spans="1:10">
      <c r="A9">
        <v>5107</v>
      </c>
      <c r="B9" s="7" t="s">
        <v>23</v>
      </c>
      <c r="C9">
        <v>1</v>
      </c>
      <c r="D9">
        <v>125060758</v>
      </c>
      <c r="E9" s="8">
        <v>45819.836111111108</v>
      </c>
      <c r="F9" s="8">
        <v>45822.336111111108</v>
      </c>
      <c r="G9">
        <v>1</v>
      </c>
      <c r="H9">
        <v>2</v>
      </c>
      <c r="I9" t="str">
        <f t="shared" si="0"/>
        <v>63072025061101345107</v>
      </c>
      <c r="J9" t="str">
        <f>VLOOKUP(A9,Comuna_empresa!B:E,4,0)</f>
        <v>Quintero</v>
      </c>
    </row>
    <row r="10" spans="1:10">
      <c r="A10">
        <v>5107</v>
      </c>
      <c r="B10" s="7" t="s">
        <v>24</v>
      </c>
      <c r="C10">
        <v>1</v>
      </c>
      <c r="D10">
        <v>125060759</v>
      </c>
      <c r="E10" s="8">
        <v>45819.836111111108</v>
      </c>
      <c r="F10" s="8">
        <v>45822.336111111108</v>
      </c>
      <c r="G10">
        <v>4</v>
      </c>
      <c r="H10">
        <v>2</v>
      </c>
      <c r="I10" t="str">
        <f t="shared" si="0"/>
        <v>63072025061101355107</v>
      </c>
      <c r="J10" t="str">
        <f>VLOOKUP(A10,Comuna_empresa!B:E,4,0)</f>
        <v>Quintero</v>
      </c>
    </row>
    <row r="11" spans="1:10">
      <c r="A11">
        <v>5107</v>
      </c>
      <c r="B11" s="7" t="s">
        <v>25</v>
      </c>
      <c r="C11">
        <v>1</v>
      </c>
      <c r="D11">
        <v>125060760</v>
      </c>
      <c r="E11" s="8">
        <v>45819.836111111108</v>
      </c>
      <c r="F11" s="8">
        <v>45822.336111111108</v>
      </c>
      <c r="G11">
        <v>1</v>
      </c>
      <c r="H11">
        <v>2</v>
      </c>
      <c r="I11" t="str">
        <f t="shared" si="0"/>
        <v>63072025061101425107</v>
      </c>
      <c r="J11" t="str">
        <f>VLOOKUP(A11,Comuna_empresa!B:E,4,0)</f>
        <v>Quintero</v>
      </c>
    </row>
    <row r="12" spans="1:10">
      <c r="A12">
        <v>5107</v>
      </c>
      <c r="B12" s="7" t="s">
        <v>26</v>
      </c>
      <c r="C12">
        <v>1</v>
      </c>
      <c r="D12">
        <v>125060761</v>
      </c>
      <c r="E12" s="8">
        <v>45819.836111111108</v>
      </c>
      <c r="F12" s="8">
        <v>45822.336111111108</v>
      </c>
      <c r="G12">
        <v>1</v>
      </c>
      <c r="H12">
        <v>2</v>
      </c>
      <c r="I12" t="str">
        <f t="shared" si="0"/>
        <v>63072025061101435107</v>
      </c>
      <c r="J12" t="str">
        <f>VLOOKUP(A12,Comuna_empresa!B:E,4,0)</f>
        <v>Quintero</v>
      </c>
    </row>
    <row r="13" spans="1:10">
      <c r="A13">
        <v>5107</v>
      </c>
      <c r="B13" s="7" t="s">
        <v>27</v>
      </c>
      <c r="C13">
        <v>1</v>
      </c>
      <c r="D13">
        <v>125060762</v>
      </c>
      <c r="E13" s="8">
        <v>45819.836111111108</v>
      </c>
      <c r="F13" s="8">
        <v>45822.336111111108</v>
      </c>
      <c r="G13">
        <v>1</v>
      </c>
      <c r="H13">
        <v>2</v>
      </c>
      <c r="I13" t="str">
        <f t="shared" si="0"/>
        <v>63072025061101445107</v>
      </c>
      <c r="J13" t="str">
        <f>VLOOKUP(A13,Comuna_empresa!B:E,4,0)</f>
        <v>Quintero</v>
      </c>
    </row>
    <row r="14" spans="1:10">
      <c r="A14">
        <v>5107</v>
      </c>
      <c r="B14" s="7" t="s">
        <v>28</v>
      </c>
      <c r="C14">
        <v>1</v>
      </c>
      <c r="D14">
        <v>125060763</v>
      </c>
      <c r="E14" s="8">
        <v>45819.836111111108</v>
      </c>
      <c r="F14" s="8">
        <v>45822.336111111108</v>
      </c>
      <c r="G14">
        <v>1</v>
      </c>
      <c r="H14">
        <v>2</v>
      </c>
      <c r="I14" t="str">
        <f t="shared" si="0"/>
        <v>63072025061200185107</v>
      </c>
      <c r="J14" t="str">
        <f>VLOOKUP(A14,Comuna_empresa!B:E,4,0)</f>
        <v>Quintero</v>
      </c>
    </row>
    <row r="15" spans="1:10">
      <c r="A15">
        <v>5107</v>
      </c>
      <c r="B15" s="7" t="s">
        <v>11</v>
      </c>
      <c r="C15">
        <v>1</v>
      </c>
      <c r="D15">
        <v>125060764</v>
      </c>
      <c r="E15" s="8">
        <v>45819.836111111108</v>
      </c>
      <c r="F15" s="8">
        <v>45822.336111111108</v>
      </c>
      <c r="G15">
        <v>1</v>
      </c>
      <c r="H15">
        <v>2</v>
      </c>
      <c r="I15" t="str">
        <f t="shared" si="0"/>
        <v>63072025061201725107</v>
      </c>
      <c r="J15" t="str">
        <f>VLOOKUP(A15,Comuna_empresa!B:E,4,0)</f>
        <v>Quintero</v>
      </c>
    </row>
    <row r="16" spans="1:10">
      <c r="A16">
        <v>5107</v>
      </c>
      <c r="B16" s="7" t="s">
        <v>29</v>
      </c>
      <c r="C16">
        <v>1</v>
      </c>
      <c r="D16">
        <v>125060765</v>
      </c>
      <c r="E16" s="8">
        <v>45819.836111111108</v>
      </c>
      <c r="F16" s="8">
        <v>45822.336111111108</v>
      </c>
      <c r="G16">
        <v>1</v>
      </c>
      <c r="H16">
        <v>2</v>
      </c>
      <c r="I16" t="str">
        <f t="shared" si="0"/>
        <v>63072025061202065107</v>
      </c>
      <c r="J16" t="str">
        <f>VLOOKUP(A16,Comuna_empresa!B:E,4,0)</f>
        <v>Quintero</v>
      </c>
    </row>
    <row r="17" spans="1:10">
      <c r="A17">
        <v>5107</v>
      </c>
      <c r="B17" s="7" t="s">
        <v>30</v>
      </c>
      <c r="C17">
        <v>1</v>
      </c>
      <c r="D17">
        <v>125060766</v>
      </c>
      <c r="E17" s="8">
        <v>45819.836111111108</v>
      </c>
      <c r="F17" s="8">
        <v>45822.336111111108</v>
      </c>
      <c r="G17">
        <v>4</v>
      </c>
      <c r="H17">
        <v>2</v>
      </c>
      <c r="I17" t="str">
        <f t="shared" si="0"/>
        <v>63072025061202585107</v>
      </c>
      <c r="J17" t="str">
        <f>VLOOKUP(A17,Comuna_empresa!B:E,4,0)</f>
        <v>Quintero</v>
      </c>
    </row>
    <row r="18" spans="1:10">
      <c r="A18">
        <v>5107</v>
      </c>
      <c r="B18" s="7" t="s">
        <v>12</v>
      </c>
      <c r="C18">
        <v>2</v>
      </c>
      <c r="D18">
        <v>125060767</v>
      </c>
      <c r="E18" s="8">
        <v>45819.836111111108</v>
      </c>
      <c r="F18" s="8">
        <v>45822.336111111108</v>
      </c>
      <c r="G18">
        <v>4</v>
      </c>
      <c r="H18">
        <v>2</v>
      </c>
      <c r="I18" t="str">
        <f t="shared" si="0"/>
        <v>63072025061202745107</v>
      </c>
      <c r="J18" t="str">
        <f>VLOOKUP(A18,Comuna_empresa!B:E,4,0)</f>
        <v>Quintero</v>
      </c>
    </row>
    <row r="19" spans="1:10">
      <c r="A19">
        <v>5107</v>
      </c>
      <c r="B19" s="7" t="s">
        <v>31</v>
      </c>
      <c r="C19">
        <v>1</v>
      </c>
      <c r="D19">
        <v>125060768</v>
      </c>
      <c r="E19" s="8">
        <v>45819.836111111108</v>
      </c>
      <c r="F19" s="8">
        <v>45822.336111111108</v>
      </c>
      <c r="G19">
        <v>4</v>
      </c>
      <c r="H19">
        <v>2</v>
      </c>
      <c r="I19" t="str">
        <f t="shared" si="0"/>
        <v>63072025061202755107</v>
      </c>
      <c r="J19" t="str">
        <f>VLOOKUP(A19,Comuna_empresa!B:E,4,0)</f>
        <v>Quintero</v>
      </c>
    </row>
    <row r="20" spans="1:10">
      <c r="A20">
        <v>5107</v>
      </c>
      <c r="B20" s="7" t="s">
        <v>13</v>
      </c>
      <c r="C20">
        <v>1</v>
      </c>
      <c r="D20">
        <v>125060769</v>
      </c>
      <c r="E20" s="8">
        <v>45819.836111111108</v>
      </c>
      <c r="F20" s="8">
        <v>45822.336111111108</v>
      </c>
      <c r="G20">
        <v>1</v>
      </c>
      <c r="H20">
        <v>2</v>
      </c>
      <c r="I20" t="str">
        <f t="shared" si="0"/>
        <v>63072025061202965107</v>
      </c>
      <c r="J20" t="str">
        <f>VLOOKUP(A20,Comuna_empresa!B:E,4,0)</f>
        <v>Quintero</v>
      </c>
    </row>
    <row r="21" spans="1:10">
      <c r="A21">
        <v>5107</v>
      </c>
      <c r="B21" s="7" t="s">
        <v>13</v>
      </c>
      <c r="C21">
        <v>2</v>
      </c>
      <c r="D21">
        <v>125060770</v>
      </c>
      <c r="E21" s="8">
        <v>45819.836111111108</v>
      </c>
      <c r="F21" s="8">
        <v>45822.336111111108</v>
      </c>
      <c r="G21">
        <v>1</v>
      </c>
      <c r="H21">
        <v>2</v>
      </c>
      <c r="I21" t="str">
        <f t="shared" si="0"/>
        <v>63072025061202965107</v>
      </c>
      <c r="J21" t="str">
        <f>VLOOKUP(A21,Comuna_empresa!B:E,4,0)</f>
        <v>Quintero</v>
      </c>
    </row>
    <row r="22" spans="1:10">
      <c r="A22">
        <v>5107</v>
      </c>
      <c r="B22" s="7" t="s">
        <v>13</v>
      </c>
      <c r="C22">
        <v>4</v>
      </c>
      <c r="D22">
        <v>125060771</v>
      </c>
      <c r="E22" s="8">
        <v>45819.836111111108</v>
      </c>
      <c r="F22" s="8">
        <v>45822.336111111108</v>
      </c>
      <c r="G22">
        <v>1</v>
      </c>
      <c r="H22">
        <v>2</v>
      </c>
      <c r="I22" t="str">
        <f t="shared" si="0"/>
        <v>63072025061202965107</v>
      </c>
      <c r="J22" t="str">
        <f>VLOOKUP(A22,Comuna_empresa!B:E,4,0)</f>
        <v>Quintero</v>
      </c>
    </row>
    <row r="23" spans="1:10">
      <c r="A23">
        <v>5107</v>
      </c>
      <c r="B23" s="7" t="s">
        <v>14</v>
      </c>
      <c r="C23">
        <v>1</v>
      </c>
      <c r="D23">
        <v>125060772</v>
      </c>
      <c r="E23" s="8">
        <v>45819.836111111108</v>
      </c>
      <c r="F23" s="8">
        <v>45822.336111111108</v>
      </c>
      <c r="G23">
        <v>1</v>
      </c>
      <c r="H23">
        <v>2</v>
      </c>
      <c r="I23" t="str">
        <f t="shared" si="0"/>
        <v>63072025061203005107</v>
      </c>
      <c r="J23" t="str">
        <f>VLOOKUP(A23,Comuna_empresa!B:E,4,0)</f>
        <v>Quintero</v>
      </c>
    </row>
    <row r="24" spans="1:10">
      <c r="A24">
        <v>5107</v>
      </c>
      <c r="B24" s="7" t="s">
        <v>32</v>
      </c>
      <c r="C24">
        <v>1</v>
      </c>
      <c r="D24">
        <v>125060773</v>
      </c>
      <c r="E24" s="8">
        <v>45819.836111111108</v>
      </c>
      <c r="F24" s="8">
        <v>45822.336111111108</v>
      </c>
      <c r="G24">
        <v>1</v>
      </c>
      <c r="H24">
        <v>2</v>
      </c>
      <c r="I24" t="str">
        <f t="shared" si="0"/>
        <v>63072025061203095107</v>
      </c>
      <c r="J24" t="str">
        <f>VLOOKUP(A24,Comuna_empresa!B:E,4,0)</f>
        <v>Quintero</v>
      </c>
    </row>
    <row r="25" spans="1:10">
      <c r="A25">
        <v>5107</v>
      </c>
      <c r="B25" s="7" t="s">
        <v>33</v>
      </c>
      <c r="C25">
        <v>1</v>
      </c>
      <c r="D25">
        <v>125060774</v>
      </c>
      <c r="E25" s="8">
        <v>45819.836111111108</v>
      </c>
      <c r="F25" s="8">
        <v>45822.336111111108</v>
      </c>
      <c r="G25">
        <v>1</v>
      </c>
      <c r="H25">
        <v>2</v>
      </c>
      <c r="I25" t="str">
        <f t="shared" si="0"/>
        <v>63072025061203105107</v>
      </c>
      <c r="J25" t="str">
        <f>VLOOKUP(A25,Comuna_empresa!B:E,4,0)</f>
        <v>Quintero</v>
      </c>
    </row>
    <row r="26" spans="1:10">
      <c r="A26">
        <v>5107</v>
      </c>
      <c r="B26" s="7" t="s">
        <v>34</v>
      </c>
      <c r="C26">
        <v>1</v>
      </c>
      <c r="D26">
        <v>125060775</v>
      </c>
      <c r="E26" s="8">
        <v>45819.836111111108</v>
      </c>
      <c r="F26" s="8">
        <v>45822.336111111108</v>
      </c>
      <c r="G26">
        <v>4</v>
      </c>
      <c r="H26">
        <v>2</v>
      </c>
      <c r="I26" t="str">
        <f t="shared" si="0"/>
        <v>63072025061203125107</v>
      </c>
      <c r="J26" t="str">
        <f>VLOOKUP(A26,Comuna_empresa!B:E,4,0)</f>
        <v>Quintero</v>
      </c>
    </row>
    <row r="27" spans="1:10">
      <c r="A27">
        <v>5107</v>
      </c>
      <c r="B27" s="7" t="s">
        <v>35</v>
      </c>
      <c r="C27">
        <v>1</v>
      </c>
      <c r="D27">
        <v>125060776</v>
      </c>
      <c r="E27" s="8">
        <v>45819.836111111108</v>
      </c>
      <c r="F27" s="8">
        <v>45822.336111111108</v>
      </c>
      <c r="G27">
        <v>1</v>
      </c>
      <c r="H27">
        <v>2</v>
      </c>
      <c r="I27" t="str">
        <f t="shared" si="0"/>
        <v>63072025061203365107</v>
      </c>
      <c r="J27" t="str">
        <f>VLOOKUP(A27,Comuna_empresa!B:E,4,0)</f>
        <v>Quintero</v>
      </c>
    </row>
    <row r="28" spans="1:10">
      <c r="A28">
        <v>5107</v>
      </c>
      <c r="B28" s="7" t="s">
        <v>36</v>
      </c>
      <c r="C28">
        <v>1</v>
      </c>
      <c r="D28">
        <v>125060777</v>
      </c>
      <c r="E28" s="8">
        <v>45819.836111111108</v>
      </c>
      <c r="F28" s="8">
        <v>45822.336111111108</v>
      </c>
      <c r="G28">
        <v>1</v>
      </c>
      <c r="H28">
        <v>2</v>
      </c>
      <c r="I28" t="str">
        <f t="shared" si="0"/>
        <v>63072025061203455107</v>
      </c>
      <c r="J28" t="str">
        <f>VLOOKUP(A28,Comuna_empresa!B:E,4,0)</f>
        <v>Quintero</v>
      </c>
    </row>
    <row r="29" spans="1:10">
      <c r="A29">
        <v>5107</v>
      </c>
      <c r="B29" s="7" t="s">
        <v>37</v>
      </c>
      <c r="C29">
        <v>1</v>
      </c>
      <c r="D29">
        <v>125060778</v>
      </c>
      <c r="E29" s="8">
        <v>45819.836111111108</v>
      </c>
      <c r="F29" s="8">
        <v>45822.336111111108</v>
      </c>
      <c r="G29">
        <v>1</v>
      </c>
      <c r="H29">
        <v>2</v>
      </c>
      <c r="I29" t="str">
        <f t="shared" si="0"/>
        <v>63072025061203515107</v>
      </c>
      <c r="J29" t="str">
        <f>VLOOKUP(A29,Comuna_empresa!B:E,4,0)</f>
        <v>Quintero</v>
      </c>
    </row>
    <row r="30" spans="1:10">
      <c r="A30">
        <v>5107</v>
      </c>
      <c r="B30" s="7" t="s">
        <v>38</v>
      </c>
      <c r="C30">
        <v>1</v>
      </c>
      <c r="D30">
        <v>125060779</v>
      </c>
      <c r="E30" s="8">
        <v>45819.836111111108</v>
      </c>
      <c r="F30" s="8">
        <v>45822.336111111108</v>
      </c>
      <c r="G30">
        <v>4</v>
      </c>
      <c r="H30">
        <v>2</v>
      </c>
      <c r="I30" t="str">
        <f t="shared" si="0"/>
        <v>63072025061203585107</v>
      </c>
      <c r="J30" t="str">
        <f>VLOOKUP(A30,Comuna_empresa!B:E,4,0)</f>
        <v>Quintero</v>
      </c>
    </row>
    <row r="31" spans="1:10">
      <c r="A31">
        <v>5107</v>
      </c>
      <c r="B31" s="7" t="s">
        <v>39</v>
      </c>
      <c r="C31">
        <v>1</v>
      </c>
      <c r="D31">
        <v>125060780</v>
      </c>
      <c r="E31" s="8">
        <v>45819.836111111108</v>
      </c>
      <c r="F31" s="8">
        <v>45822.336111111108</v>
      </c>
      <c r="G31">
        <v>1</v>
      </c>
      <c r="H31">
        <v>2</v>
      </c>
      <c r="I31" t="str">
        <f t="shared" si="0"/>
        <v>63072025061203665107</v>
      </c>
      <c r="J31" t="str">
        <f>VLOOKUP(A31,Comuna_empresa!B:E,4,0)</f>
        <v>Quintero</v>
      </c>
    </row>
    <row r="32" spans="1:10">
      <c r="A32">
        <v>5107</v>
      </c>
      <c r="B32" s="7" t="s">
        <v>15</v>
      </c>
      <c r="C32">
        <v>1</v>
      </c>
      <c r="D32">
        <v>125060781</v>
      </c>
      <c r="E32" s="8">
        <v>45819.836111111108</v>
      </c>
      <c r="F32" s="8">
        <v>45822.336111111108</v>
      </c>
      <c r="G32">
        <v>4</v>
      </c>
      <c r="H32">
        <v>2</v>
      </c>
      <c r="I32" t="str">
        <f t="shared" si="0"/>
        <v>63072025061203685107</v>
      </c>
      <c r="J32" t="str">
        <f>VLOOKUP(A32,Comuna_empresa!B:E,4,0)</f>
        <v>Quintero</v>
      </c>
    </row>
    <row r="33" spans="1:10">
      <c r="A33">
        <v>5107</v>
      </c>
      <c r="B33" s="7" t="s">
        <v>40</v>
      </c>
      <c r="C33">
        <v>1</v>
      </c>
      <c r="D33">
        <v>125060782</v>
      </c>
      <c r="E33" s="8">
        <v>45819.836111111108</v>
      </c>
      <c r="F33" s="8">
        <v>45822.336111111108</v>
      </c>
      <c r="G33">
        <v>1</v>
      </c>
      <c r="H33">
        <v>2</v>
      </c>
      <c r="I33" t="str">
        <f t="shared" si="0"/>
        <v>63072025061204035107</v>
      </c>
      <c r="J33" t="str">
        <f>VLOOKUP(A33,Comuna_empresa!B:E,4,0)</f>
        <v>Quintero</v>
      </c>
    </row>
    <row r="34" spans="1:10">
      <c r="A34">
        <v>5107</v>
      </c>
      <c r="B34" s="7" t="s">
        <v>16</v>
      </c>
      <c r="C34">
        <v>1</v>
      </c>
      <c r="D34">
        <v>125060783</v>
      </c>
      <c r="E34" s="8">
        <v>45819.836111111108</v>
      </c>
      <c r="F34" s="8">
        <v>45822.336111111108</v>
      </c>
      <c r="G34">
        <v>1</v>
      </c>
      <c r="H34">
        <v>2</v>
      </c>
      <c r="I34" t="str">
        <f t="shared" si="0"/>
        <v>63072025061204145107</v>
      </c>
      <c r="J34" t="str">
        <f>VLOOKUP(A34,Comuna_empresa!B:E,4,0)</f>
        <v>Quintero</v>
      </c>
    </row>
    <row r="35" spans="1:10">
      <c r="A35">
        <v>5107</v>
      </c>
      <c r="B35" s="7" t="s">
        <v>41</v>
      </c>
      <c r="C35">
        <v>1</v>
      </c>
      <c r="D35">
        <v>125060784</v>
      </c>
      <c r="E35" s="8">
        <v>45819.836111111108</v>
      </c>
      <c r="F35" s="8">
        <v>45822.336111111108</v>
      </c>
      <c r="G35">
        <v>1</v>
      </c>
      <c r="H35">
        <v>2</v>
      </c>
      <c r="I35" t="str">
        <f t="shared" si="0"/>
        <v>63072025061204155107</v>
      </c>
      <c r="J35" t="str">
        <f>VLOOKUP(A35,Comuna_empresa!B:E,4,0)</f>
        <v>Quintero</v>
      </c>
    </row>
    <row r="36" spans="1:10">
      <c r="A36">
        <v>5107</v>
      </c>
      <c r="B36" s="7" t="s">
        <v>42</v>
      </c>
      <c r="C36">
        <v>1</v>
      </c>
      <c r="D36">
        <v>125060785</v>
      </c>
      <c r="E36" s="8">
        <v>45819.836111111108</v>
      </c>
      <c r="F36" s="8">
        <v>45822.336111111108</v>
      </c>
      <c r="G36">
        <v>1</v>
      </c>
      <c r="H36">
        <v>2</v>
      </c>
      <c r="I36" t="str">
        <f t="shared" si="0"/>
        <v>63072025061204205107</v>
      </c>
      <c r="J36" t="str">
        <f>VLOOKUP(A36,Comuna_empresa!B:E,4,0)</f>
        <v>Quintero</v>
      </c>
    </row>
    <row r="37" spans="1:10">
      <c r="A37">
        <v>5107</v>
      </c>
      <c r="B37" s="7" t="s">
        <v>43</v>
      </c>
      <c r="C37">
        <v>1</v>
      </c>
      <c r="D37">
        <v>125060786</v>
      </c>
      <c r="E37" s="8">
        <v>45819.836111111108</v>
      </c>
      <c r="F37" s="8">
        <v>45822.336111111108</v>
      </c>
      <c r="G37">
        <v>1</v>
      </c>
      <c r="H37">
        <v>2</v>
      </c>
      <c r="I37" t="str">
        <f t="shared" si="0"/>
        <v>63072025061204225107</v>
      </c>
      <c r="J37" t="str">
        <f>VLOOKUP(A37,Comuna_empresa!B:E,4,0)</f>
        <v>Quintero</v>
      </c>
    </row>
    <row r="38" spans="1:10">
      <c r="A38">
        <v>5107</v>
      </c>
      <c r="B38" s="7" t="s">
        <v>44</v>
      </c>
      <c r="C38">
        <v>1</v>
      </c>
      <c r="D38">
        <v>125060787</v>
      </c>
      <c r="E38" s="8">
        <v>45819.836111111108</v>
      </c>
      <c r="F38" s="8">
        <v>45822.336111111108</v>
      </c>
      <c r="G38">
        <v>1</v>
      </c>
      <c r="H38">
        <v>2</v>
      </c>
      <c r="I38" t="str">
        <f t="shared" si="0"/>
        <v>63072025061204295107</v>
      </c>
      <c r="J38" t="str">
        <f>VLOOKUP(A38,Comuna_empresa!B:E,4,0)</f>
        <v>Quintero</v>
      </c>
    </row>
    <row r="39" spans="1:10">
      <c r="A39">
        <v>5107</v>
      </c>
      <c r="B39" s="7" t="s">
        <v>45</v>
      </c>
      <c r="C39">
        <v>1</v>
      </c>
      <c r="D39">
        <v>125060788</v>
      </c>
      <c r="E39" s="8">
        <v>45819.836111111108</v>
      </c>
      <c r="F39" s="8">
        <v>45822.336111111108</v>
      </c>
      <c r="G39">
        <v>1</v>
      </c>
      <c r="H39">
        <v>2</v>
      </c>
      <c r="I39" t="str">
        <f t="shared" si="0"/>
        <v>63072025061204325107</v>
      </c>
      <c r="J39" t="str">
        <f>VLOOKUP(A39,Comuna_empresa!B:E,4,0)</f>
        <v>Quintero</v>
      </c>
    </row>
    <row r="40" spans="1:10">
      <c r="A40">
        <v>5107</v>
      </c>
      <c r="B40" s="7" t="s">
        <v>46</v>
      </c>
      <c r="C40">
        <v>1</v>
      </c>
      <c r="D40">
        <v>125060789</v>
      </c>
      <c r="E40" s="8">
        <v>45819.836111111108</v>
      </c>
      <c r="F40" s="8">
        <v>45822.336111111108</v>
      </c>
      <c r="G40">
        <v>1</v>
      </c>
      <c r="H40">
        <v>2</v>
      </c>
      <c r="I40" t="str">
        <f t="shared" si="0"/>
        <v>63072025061204485107</v>
      </c>
      <c r="J40" t="str">
        <f>VLOOKUP(A40,Comuna_empresa!B:E,4,0)</f>
        <v>Quintero</v>
      </c>
    </row>
    <row r="41" spans="1:10">
      <c r="A41">
        <v>5107</v>
      </c>
      <c r="B41" s="7" t="s">
        <v>47</v>
      </c>
      <c r="C41">
        <v>1</v>
      </c>
      <c r="D41">
        <v>125060790</v>
      </c>
      <c r="E41" s="8">
        <v>45819.836111111108</v>
      </c>
      <c r="F41" s="8">
        <v>45822.336111111108</v>
      </c>
      <c r="G41">
        <v>1</v>
      </c>
      <c r="H41">
        <v>2</v>
      </c>
      <c r="I41" t="str">
        <f t="shared" si="0"/>
        <v>63072025061204545107</v>
      </c>
      <c r="J41" t="str">
        <f>VLOOKUP(A41,Comuna_empresa!B:E,4,0)</f>
        <v>Quintero</v>
      </c>
    </row>
    <row r="42" spans="1:10">
      <c r="A42">
        <v>5107</v>
      </c>
      <c r="B42" s="7" t="s">
        <v>48</v>
      </c>
      <c r="C42">
        <v>1</v>
      </c>
      <c r="D42">
        <v>125060791</v>
      </c>
      <c r="E42" s="8">
        <v>45819.836111111108</v>
      </c>
      <c r="F42" s="8">
        <v>45822.336111111108</v>
      </c>
      <c r="G42">
        <v>1</v>
      </c>
      <c r="H42">
        <v>2</v>
      </c>
      <c r="I42" t="str">
        <f t="shared" si="0"/>
        <v>63072025061204575107</v>
      </c>
      <c r="J42" t="str">
        <f>VLOOKUP(A42,Comuna_empresa!B:E,4,0)</f>
        <v>Quintero</v>
      </c>
    </row>
    <row r="43" spans="1:10">
      <c r="A43">
        <v>5107</v>
      </c>
      <c r="B43" s="7" t="s">
        <v>49</v>
      </c>
      <c r="C43">
        <v>1</v>
      </c>
      <c r="D43">
        <v>125060792</v>
      </c>
      <c r="E43" s="8">
        <v>45819.836111111108</v>
      </c>
      <c r="F43" s="8">
        <v>45822.336111111108</v>
      </c>
      <c r="G43">
        <v>1</v>
      </c>
      <c r="H43">
        <v>2</v>
      </c>
      <c r="I43" t="str">
        <f t="shared" si="0"/>
        <v>63072025061204635107</v>
      </c>
      <c r="J43" t="str">
        <f>VLOOKUP(A43,Comuna_empresa!B:E,4,0)</f>
        <v>Quintero</v>
      </c>
    </row>
    <row r="44" spans="1:10">
      <c r="A44">
        <v>5107</v>
      </c>
      <c r="B44" s="7" t="s">
        <v>17</v>
      </c>
      <c r="C44">
        <v>1</v>
      </c>
      <c r="D44">
        <v>125060793</v>
      </c>
      <c r="E44" s="8">
        <v>45819.836111111108</v>
      </c>
      <c r="F44" s="8">
        <v>45822.336111111108</v>
      </c>
      <c r="G44">
        <v>4</v>
      </c>
      <c r="H44">
        <v>2</v>
      </c>
      <c r="I44" t="str">
        <f t="shared" si="0"/>
        <v>63072025061204905107</v>
      </c>
      <c r="J44" t="str">
        <f>VLOOKUP(A44,Comuna_empresa!B:E,4,0)</f>
        <v>Quintero</v>
      </c>
    </row>
    <row r="45" spans="1:10">
      <c r="A45">
        <v>5107</v>
      </c>
      <c r="B45" s="7" t="s">
        <v>18</v>
      </c>
      <c r="C45">
        <v>1</v>
      </c>
      <c r="D45">
        <v>125060794</v>
      </c>
      <c r="E45" s="8">
        <v>45819.836111111108</v>
      </c>
      <c r="F45" s="8">
        <v>45822.336111111108</v>
      </c>
      <c r="G45">
        <v>4</v>
      </c>
      <c r="H45">
        <v>2</v>
      </c>
      <c r="I45" t="str">
        <f t="shared" si="0"/>
        <v>63072025061204915107</v>
      </c>
      <c r="J45" t="str">
        <f>VLOOKUP(A45,Comuna_empresa!B:E,4,0)</f>
        <v>Quintero</v>
      </c>
    </row>
    <row r="46" spans="1:10">
      <c r="A46">
        <v>5107</v>
      </c>
      <c r="B46" s="7" t="s">
        <v>50</v>
      </c>
      <c r="C46">
        <v>1</v>
      </c>
      <c r="D46">
        <v>125060795</v>
      </c>
      <c r="E46" s="8">
        <v>45819.836111111108</v>
      </c>
      <c r="F46" s="8">
        <v>45822.336111111108</v>
      </c>
      <c r="G46">
        <v>1</v>
      </c>
      <c r="H46">
        <v>2</v>
      </c>
      <c r="I46" t="str">
        <f t="shared" si="0"/>
        <v>63072025061204955107</v>
      </c>
      <c r="J46" t="str">
        <f>VLOOKUP(A46,Comuna_empresa!B:E,4,0)</f>
        <v>Quintero</v>
      </c>
    </row>
    <row r="47" spans="1:10">
      <c r="A47">
        <v>5107</v>
      </c>
      <c r="B47" s="7" t="s">
        <v>51</v>
      </c>
      <c r="C47">
        <v>1</v>
      </c>
      <c r="D47">
        <v>125060796</v>
      </c>
      <c r="E47" s="8">
        <v>45819.836111111108</v>
      </c>
      <c r="F47" s="8">
        <v>45822.336111111108</v>
      </c>
      <c r="G47">
        <v>1</v>
      </c>
      <c r="H47">
        <v>2</v>
      </c>
      <c r="I47" t="str">
        <f t="shared" si="0"/>
        <v>63072025061204965107</v>
      </c>
      <c r="J47" t="str">
        <f>VLOOKUP(A47,Comuna_empresa!B:E,4,0)</f>
        <v>Quintero</v>
      </c>
    </row>
    <row r="48" spans="1:10">
      <c r="A48">
        <v>5107</v>
      </c>
      <c r="B48" s="7" t="s">
        <v>52</v>
      </c>
      <c r="C48">
        <v>1</v>
      </c>
      <c r="D48">
        <v>125060797</v>
      </c>
      <c r="E48" s="8">
        <v>45819.836111111108</v>
      </c>
      <c r="F48" s="8">
        <v>45822.336111111108</v>
      </c>
      <c r="G48">
        <v>1</v>
      </c>
      <c r="H48">
        <v>2</v>
      </c>
      <c r="I48" t="str">
        <f t="shared" si="0"/>
        <v>63072025061204995107</v>
      </c>
      <c r="J48" t="str">
        <f>VLOOKUP(A48,Comuna_empresa!B:E,4,0)</f>
        <v>Quintero</v>
      </c>
    </row>
    <row r="49" spans="1:10">
      <c r="A49">
        <v>5107</v>
      </c>
      <c r="B49" s="7" t="s">
        <v>53</v>
      </c>
      <c r="C49">
        <v>1</v>
      </c>
      <c r="D49">
        <v>125060798</v>
      </c>
      <c r="E49" s="8">
        <v>45819.836111111108</v>
      </c>
      <c r="F49" s="8">
        <v>45822.336111111108</v>
      </c>
      <c r="G49">
        <v>1</v>
      </c>
      <c r="H49">
        <v>2</v>
      </c>
      <c r="I49" t="str">
        <f t="shared" si="0"/>
        <v>63072025061205025107</v>
      </c>
      <c r="J49" t="str">
        <f>VLOOKUP(A49,Comuna_empresa!B:E,4,0)</f>
        <v>Quintero</v>
      </c>
    </row>
    <row r="50" spans="1:10">
      <c r="A50">
        <v>5107</v>
      </c>
      <c r="B50" s="7" t="s">
        <v>54</v>
      </c>
      <c r="C50">
        <v>1</v>
      </c>
      <c r="D50">
        <v>125060799</v>
      </c>
      <c r="E50" s="8">
        <v>45819.836111111108</v>
      </c>
      <c r="F50" s="8">
        <v>45822.336111111108</v>
      </c>
      <c r="G50">
        <v>1</v>
      </c>
      <c r="H50">
        <v>2</v>
      </c>
      <c r="I50" t="str">
        <f t="shared" si="0"/>
        <v>63072025061205065107</v>
      </c>
      <c r="J50" t="str">
        <f>VLOOKUP(A50,Comuna_empresa!B:E,4,0)</f>
        <v>Quintero</v>
      </c>
    </row>
    <row r="51" spans="1:10">
      <c r="A51">
        <v>5107</v>
      </c>
      <c r="B51" s="7" t="s">
        <v>55</v>
      </c>
      <c r="C51">
        <v>1</v>
      </c>
      <c r="D51">
        <v>125060800</v>
      </c>
      <c r="E51" s="8">
        <v>45819.836111111108</v>
      </c>
      <c r="F51" s="8">
        <v>45822.336111111108</v>
      </c>
      <c r="G51">
        <v>1</v>
      </c>
      <c r="H51">
        <v>2</v>
      </c>
      <c r="I51" t="str">
        <f t="shared" si="0"/>
        <v>63072025061205175107</v>
      </c>
      <c r="J51" t="str">
        <f>VLOOKUP(A51,Comuna_empresa!B:E,4,0)</f>
        <v>Quintero</v>
      </c>
    </row>
    <row r="52" spans="1:10">
      <c r="A52">
        <v>5107</v>
      </c>
      <c r="B52" s="7" t="s">
        <v>56</v>
      </c>
      <c r="C52">
        <v>1</v>
      </c>
      <c r="D52">
        <v>125060801</v>
      </c>
      <c r="E52" s="8">
        <v>45819.836111111108</v>
      </c>
      <c r="F52" s="8">
        <v>45822.336111111108</v>
      </c>
      <c r="G52">
        <v>4</v>
      </c>
      <c r="H52">
        <v>2</v>
      </c>
      <c r="I52" t="str">
        <f t="shared" si="0"/>
        <v>63072025061205185107</v>
      </c>
      <c r="J52" t="str">
        <f>VLOOKUP(A52,Comuna_empresa!B:E,4,0)</f>
        <v>Quintero</v>
      </c>
    </row>
    <row r="53" spans="1:10">
      <c r="A53">
        <v>5107</v>
      </c>
      <c r="B53" s="7" t="s">
        <v>57</v>
      </c>
      <c r="C53">
        <v>1</v>
      </c>
      <c r="D53">
        <v>125060802</v>
      </c>
      <c r="E53" s="8">
        <v>45819.836111111108</v>
      </c>
      <c r="F53" s="8">
        <v>45822.336111111108</v>
      </c>
      <c r="G53">
        <v>1</v>
      </c>
      <c r="H53">
        <v>2</v>
      </c>
      <c r="I53" t="str">
        <f t="shared" si="0"/>
        <v>63072025061300185107</v>
      </c>
      <c r="J53" t="str">
        <f>VLOOKUP(A53,Comuna_empresa!B:E,4,0)</f>
        <v>Quintero</v>
      </c>
    </row>
    <row r="54" spans="1:10">
      <c r="A54">
        <v>5107</v>
      </c>
      <c r="B54" s="7" t="s">
        <v>58</v>
      </c>
      <c r="C54">
        <v>1</v>
      </c>
      <c r="D54">
        <v>125060803</v>
      </c>
      <c r="E54" s="8">
        <v>45819.836111111108</v>
      </c>
      <c r="F54" s="8">
        <v>45822.336111111108</v>
      </c>
      <c r="G54">
        <v>1</v>
      </c>
      <c r="H54">
        <v>2</v>
      </c>
      <c r="I54" t="str">
        <f t="shared" si="0"/>
        <v>63072025061300435107</v>
      </c>
      <c r="J54" t="str">
        <f>VLOOKUP(A54,Comuna_empresa!B:E,4,0)</f>
        <v>Quintero</v>
      </c>
    </row>
    <row r="55" spans="1:10">
      <c r="A55">
        <v>5107</v>
      </c>
      <c r="B55" s="7" t="s">
        <v>59</v>
      </c>
      <c r="C55">
        <v>1</v>
      </c>
      <c r="D55">
        <v>125060804</v>
      </c>
      <c r="E55" s="8">
        <v>45819.836111111108</v>
      </c>
      <c r="F55" s="8">
        <v>45822.336111111108</v>
      </c>
      <c r="G55">
        <v>1</v>
      </c>
      <c r="H55">
        <v>2</v>
      </c>
      <c r="I55" t="str">
        <f t="shared" ref="I55:I68" si="1">"6307"&amp;MID(B55,7,18)&amp;A55</f>
        <v>63072025061300755107</v>
      </c>
      <c r="J55" t="str">
        <f>VLOOKUP(A55,Comuna_empresa!B:E,4,0)</f>
        <v>Quintero</v>
      </c>
    </row>
    <row r="56" spans="1:10">
      <c r="A56">
        <v>5107</v>
      </c>
      <c r="B56" s="7" t="s">
        <v>60</v>
      </c>
      <c r="C56">
        <v>1</v>
      </c>
      <c r="D56">
        <v>125060805</v>
      </c>
      <c r="E56" s="8">
        <v>45819.836111111108</v>
      </c>
      <c r="F56" s="8">
        <v>45822.336111111108</v>
      </c>
      <c r="G56">
        <v>1</v>
      </c>
      <c r="H56">
        <v>2</v>
      </c>
      <c r="I56" t="str">
        <f t="shared" si="1"/>
        <v>63072025061300835107</v>
      </c>
      <c r="J56" t="str">
        <f>VLOOKUP(A56,Comuna_empresa!B:E,4,0)</f>
        <v>Quintero</v>
      </c>
    </row>
    <row r="57" spans="1:10">
      <c r="A57">
        <v>5107</v>
      </c>
      <c r="B57" s="7" t="s">
        <v>61</v>
      </c>
      <c r="C57">
        <v>1</v>
      </c>
      <c r="D57">
        <v>125060806</v>
      </c>
      <c r="E57" s="8">
        <v>45819.836111111108</v>
      </c>
      <c r="F57" s="8">
        <v>45822.336111111108</v>
      </c>
      <c r="G57">
        <v>1</v>
      </c>
      <c r="H57">
        <v>2</v>
      </c>
      <c r="I57" t="str">
        <f t="shared" si="1"/>
        <v>63072025061300975107</v>
      </c>
      <c r="J57" t="str">
        <f>VLOOKUP(A57,Comuna_empresa!B:E,4,0)</f>
        <v>Quintero</v>
      </c>
    </row>
    <row r="58" spans="1:10">
      <c r="A58">
        <v>5107</v>
      </c>
      <c r="B58" s="7" t="s">
        <v>19</v>
      </c>
      <c r="C58">
        <v>1</v>
      </c>
      <c r="D58">
        <v>125060807</v>
      </c>
      <c r="E58" s="8">
        <v>45819.836111111108</v>
      </c>
      <c r="F58" s="8">
        <v>45822.336111111108</v>
      </c>
      <c r="G58">
        <v>4</v>
      </c>
      <c r="H58">
        <v>2</v>
      </c>
      <c r="I58" t="str">
        <f t="shared" si="1"/>
        <v>63072025061300995107</v>
      </c>
      <c r="J58" t="str">
        <f>VLOOKUP(A58,Comuna_empresa!B:E,4,0)</f>
        <v>Quintero</v>
      </c>
    </row>
    <row r="59" spans="1:10">
      <c r="A59">
        <v>5107</v>
      </c>
      <c r="B59" s="7" t="s">
        <v>62</v>
      </c>
      <c r="C59">
        <v>1</v>
      </c>
      <c r="D59">
        <v>125060808</v>
      </c>
      <c r="E59" s="8">
        <v>45819.836111111108</v>
      </c>
      <c r="F59" s="8">
        <v>45822.336111111108</v>
      </c>
      <c r="G59">
        <v>1</v>
      </c>
      <c r="H59">
        <v>2</v>
      </c>
      <c r="I59" t="str">
        <f t="shared" si="1"/>
        <v>63072025061301095107</v>
      </c>
      <c r="J59" t="str">
        <f>VLOOKUP(A59,Comuna_empresa!B:E,4,0)</f>
        <v>Quintero</v>
      </c>
    </row>
    <row r="60" spans="1:10">
      <c r="A60">
        <v>5107</v>
      </c>
      <c r="B60" s="7" t="s">
        <v>63</v>
      </c>
      <c r="C60">
        <v>1</v>
      </c>
      <c r="D60">
        <v>125060809</v>
      </c>
      <c r="E60" s="8">
        <v>45819.836111111108</v>
      </c>
      <c r="F60" s="8">
        <v>45822.336111111108</v>
      </c>
      <c r="G60">
        <v>1</v>
      </c>
      <c r="H60">
        <v>2</v>
      </c>
      <c r="I60" t="str">
        <f t="shared" si="1"/>
        <v>63072025061301115107</v>
      </c>
      <c r="J60" t="str">
        <f>VLOOKUP(A60,Comuna_empresa!B:E,4,0)</f>
        <v>Quintero</v>
      </c>
    </row>
    <row r="61" spans="1:10">
      <c r="A61">
        <v>5107</v>
      </c>
      <c r="B61" s="7" t="s">
        <v>64</v>
      </c>
      <c r="C61">
        <v>1</v>
      </c>
      <c r="D61">
        <v>125060810</v>
      </c>
      <c r="E61" s="8">
        <v>45819.836111111108</v>
      </c>
      <c r="F61" s="8">
        <v>45822.336111111108</v>
      </c>
      <c r="G61">
        <v>1</v>
      </c>
      <c r="H61">
        <v>2</v>
      </c>
      <c r="I61" t="str">
        <f t="shared" si="1"/>
        <v>63072025061301435107</v>
      </c>
      <c r="J61" t="str">
        <f>VLOOKUP(A61,Comuna_empresa!B:E,4,0)</f>
        <v>Quintero</v>
      </c>
    </row>
    <row r="62" spans="1:10">
      <c r="A62">
        <v>5107</v>
      </c>
      <c r="B62" s="7" t="s">
        <v>65</v>
      </c>
      <c r="C62">
        <v>1</v>
      </c>
      <c r="D62">
        <v>125060811</v>
      </c>
      <c r="E62" s="8">
        <v>45819.836111111108</v>
      </c>
      <c r="F62" s="8">
        <v>45822.336111111108</v>
      </c>
      <c r="G62">
        <v>1</v>
      </c>
      <c r="H62">
        <v>2</v>
      </c>
      <c r="I62" t="str">
        <f t="shared" si="1"/>
        <v>63072025061301545107</v>
      </c>
      <c r="J62" t="str">
        <f>VLOOKUP(A62,Comuna_empresa!B:E,4,0)</f>
        <v>Quintero</v>
      </c>
    </row>
    <row r="63" spans="1:10">
      <c r="A63">
        <v>5107</v>
      </c>
      <c r="B63" s="7" t="s">
        <v>20</v>
      </c>
      <c r="C63">
        <v>1</v>
      </c>
      <c r="D63">
        <v>125060812</v>
      </c>
      <c r="E63" s="8">
        <v>45819.836111111108</v>
      </c>
      <c r="F63" s="8">
        <v>45822.336111111108</v>
      </c>
      <c r="G63">
        <v>4</v>
      </c>
      <c r="H63">
        <v>2</v>
      </c>
      <c r="I63" t="str">
        <f t="shared" si="1"/>
        <v>63072025061301725107</v>
      </c>
      <c r="J63" t="str">
        <f>VLOOKUP(A63,Comuna_empresa!B:E,4,0)</f>
        <v>Quintero</v>
      </c>
    </row>
    <row r="64" spans="1:10">
      <c r="A64">
        <v>5107</v>
      </c>
      <c r="B64" s="7" t="s">
        <v>66</v>
      </c>
      <c r="C64">
        <v>1</v>
      </c>
      <c r="D64">
        <v>125060813</v>
      </c>
      <c r="E64" s="8">
        <v>45819.836111111108</v>
      </c>
      <c r="F64" s="8">
        <v>45822.336111111108</v>
      </c>
      <c r="G64">
        <v>1</v>
      </c>
      <c r="H64">
        <v>2</v>
      </c>
      <c r="I64" t="str">
        <f t="shared" si="1"/>
        <v>63072025061301765107</v>
      </c>
      <c r="J64" t="str">
        <f>VLOOKUP(A64,Comuna_empresa!B:E,4,0)</f>
        <v>Quintero</v>
      </c>
    </row>
    <row r="65" spans="1:10">
      <c r="A65">
        <v>5107</v>
      </c>
      <c r="B65" s="7" t="s">
        <v>67</v>
      </c>
      <c r="C65">
        <v>1</v>
      </c>
      <c r="D65">
        <v>125060814</v>
      </c>
      <c r="E65" s="8">
        <v>45819.836111111108</v>
      </c>
      <c r="F65" s="8">
        <v>45822.336111111108</v>
      </c>
      <c r="G65">
        <v>1</v>
      </c>
      <c r="H65">
        <v>2</v>
      </c>
      <c r="I65" t="str">
        <f t="shared" si="1"/>
        <v>63072025061302105107</v>
      </c>
      <c r="J65" t="str">
        <f>VLOOKUP(A65,Comuna_empresa!B:E,4,0)</f>
        <v>Quintero</v>
      </c>
    </row>
    <row r="66" spans="1:10">
      <c r="A66">
        <v>5107</v>
      </c>
      <c r="B66" s="7" t="s">
        <v>68</v>
      </c>
      <c r="C66">
        <v>1</v>
      </c>
      <c r="D66">
        <v>125060815</v>
      </c>
      <c r="E66" s="8">
        <v>45819.836111111108</v>
      </c>
      <c r="F66" s="8">
        <v>45822.336111111108</v>
      </c>
      <c r="G66">
        <v>1</v>
      </c>
      <c r="H66">
        <v>2</v>
      </c>
      <c r="I66" t="str">
        <f t="shared" si="1"/>
        <v>63072025061302145107</v>
      </c>
      <c r="J66" t="str">
        <f>VLOOKUP(A66,Comuna_empresa!B:E,4,0)</f>
        <v>Quintero</v>
      </c>
    </row>
    <row r="67" spans="1:10">
      <c r="A67">
        <v>5107</v>
      </c>
      <c r="B67" s="7" t="s">
        <v>69</v>
      </c>
      <c r="C67">
        <v>1</v>
      </c>
      <c r="D67">
        <v>125060816</v>
      </c>
      <c r="E67" s="8">
        <v>45819.836111111108</v>
      </c>
      <c r="F67" s="8">
        <v>45822.336111111108</v>
      </c>
      <c r="G67">
        <v>4</v>
      </c>
      <c r="H67">
        <v>2</v>
      </c>
      <c r="I67" t="str">
        <f t="shared" si="1"/>
        <v>63072025061302155107</v>
      </c>
      <c r="J67" t="str">
        <f>VLOOKUP(A67,Comuna_empresa!B:E,4,0)</f>
        <v>Quintero</v>
      </c>
    </row>
    <row r="68" spans="1:10">
      <c r="A68">
        <v>5107</v>
      </c>
      <c r="B68" s="7" t="s">
        <v>70</v>
      </c>
      <c r="C68">
        <v>1</v>
      </c>
      <c r="D68">
        <v>125060818</v>
      </c>
      <c r="E68" s="8">
        <v>45819.836111111108</v>
      </c>
      <c r="F68" s="8">
        <v>45822.336111111108</v>
      </c>
      <c r="G68">
        <v>1</v>
      </c>
      <c r="H68">
        <v>2</v>
      </c>
      <c r="I68" t="str">
        <f t="shared" si="1"/>
        <v>63072025061400855107</v>
      </c>
      <c r="J68" t="str">
        <f>VLOOKUP(A68,Comuna_empresa!B:E,4,0)</f>
        <v>Quintero</v>
      </c>
    </row>
    <row r="69" spans="1:10">
      <c r="A69">
        <v>5304</v>
      </c>
      <c r="B69" s="7" t="s">
        <v>71</v>
      </c>
      <c r="C69">
        <v>1</v>
      </c>
      <c r="D69">
        <v>125062183</v>
      </c>
      <c r="E69" s="8">
        <v>45829.984722222223</v>
      </c>
      <c r="F69" s="8">
        <v>45832.984722222223</v>
      </c>
      <c r="G69">
        <v>4</v>
      </c>
      <c r="H69">
        <v>2</v>
      </c>
      <c r="I69" t="str">
        <f t="shared" ref="I69:I84" si="2">"6307"&amp;MID(B69,7,18)&amp;A69</f>
        <v>63072025062100885304</v>
      </c>
      <c r="J69" t="str">
        <f>VLOOKUP(A69,Comuna_empresa!B:E,4,0)</f>
        <v>San Esteban</v>
      </c>
    </row>
    <row r="70" spans="1:10">
      <c r="A70">
        <v>5304</v>
      </c>
      <c r="B70" s="7" t="s">
        <v>71</v>
      </c>
      <c r="C70">
        <v>2</v>
      </c>
      <c r="D70">
        <v>125062184</v>
      </c>
      <c r="E70" s="8">
        <v>45829.984722222223</v>
      </c>
      <c r="F70" s="8">
        <v>45832.984722222223</v>
      </c>
      <c r="G70">
        <v>4</v>
      </c>
      <c r="H70">
        <v>2</v>
      </c>
      <c r="I70" t="str">
        <f t="shared" si="2"/>
        <v>63072025062100885304</v>
      </c>
      <c r="J70" t="str">
        <f>VLOOKUP(A70,Comuna_empresa!B:E,4,0)</f>
        <v>San Esteban</v>
      </c>
    </row>
    <row r="71" spans="1:10">
      <c r="A71">
        <v>5304</v>
      </c>
      <c r="B71" s="7" t="s">
        <v>71</v>
      </c>
      <c r="C71">
        <v>3</v>
      </c>
      <c r="D71">
        <v>125062185</v>
      </c>
      <c r="E71" s="8">
        <v>45829.984722222223</v>
      </c>
      <c r="F71" s="8">
        <v>45832.984722222223</v>
      </c>
      <c r="G71">
        <v>4</v>
      </c>
      <c r="H71">
        <v>2</v>
      </c>
      <c r="I71" t="str">
        <f t="shared" si="2"/>
        <v>63072025062100885304</v>
      </c>
      <c r="J71" t="str">
        <f>VLOOKUP(A71,Comuna_empresa!B:E,4,0)</f>
        <v>San Esteban</v>
      </c>
    </row>
    <row r="72" spans="1:10">
      <c r="A72">
        <v>5304</v>
      </c>
      <c r="B72" s="7" t="s">
        <v>71</v>
      </c>
      <c r="C72">
        <v>4</v>
      </c>
      <c r="D72">
        <v>125062186</v>
      </c>
      <c r="E72" s="8">
        <v>45829.984722222223</v>
      </c>
      <c r="F72" s="8">
        <v>45832.984722222223</v>
      </c>
      <c r="G72">
        <v>4</v>
      </c>
      <c r="H72">
        <v>2</v>
      </c>
      <c r="I72" t="str">
        <f t="shared" si="2"/>
        <v>63072025062100885304</v>
      </c>
      <c r="J72" t="str">
        <f>VLOOKUP(A72,Comuna_empresa!B:E,4,0)</f>
        <v>San Esteban</v>
      </c>
    </row>
    <row r="73" spans="1:10">
      <c r="A73">
        <v>5304</v>
      </c>
      <c r="B73" s="7" t="s">
        <v>71</v>
      </c>
      <c r="C73">
        <v>5</v>
      </c>
      <c r="D73">
        <v>125062187</v>
      </c>
      <c r="E73" s="8">
        <v>45829.984722222223</v>
      </c>
      <c r="F73" s="8">
        <v>45832.984722222223</v>
      </c>
      <c r="G73">
        <v>4</v>
      </c>
      <c r="H73">
        <v>2</v>
      </c>
      <c r="I73" t="str">
        <f t="shared" si="2"/>
        <v>63072025062100885304</v>
      </c>
      <c r="J73" t="str">
        <f>VLOOKUP(A73,Comuna_empresa!B:E,4,0)</f>
        <v>San Esteban</v>
      </c>
    </row>
    <row r="74" spans="1:10">
      <c r="A74">
        <v>5304</v>
      </c>
      <c r="B74" s="7" t="s">
        <v>72</v>
      </c>
      <c r="C74">
        <v>1</v>
      </c>
      <c r="D74">
        <v>125062188</v>
      </c>
      <c r="E74" s="8">
        <v>45829.984722222223</v>
      </c>
      <c r="F74" s="8">
        <v>45832.984722222223</v>
      </c>
      <c r="G74">
        <v>1</v>
      </c>
      <c r="H74">
        <v>2</v>
      </c>
      <c r="I74" t="str">
        <f t="shared" si="2"/>
        <v>63072025062200255304</v>
      </c>
      <c r="J74" t="str">
        <f>VLOOKUP(A74,Comuna_empresa!B:E,4,0)</f>
        <v>San Esteban</v>
      </c>
    </row>
    <row r="75" spans="1:10">
      <c r="A75">
        <v>5304</v>
      </c>
      <c r="B75" s="7" t="s">
        <v>75</v>
      </c>
      <c r="C75">
        <v>1</v>
      </c>
      <c r="D75">
        <v>125062189</v>
      </c>
      <c r="E75" s="8">
        <v>45829.984722222223</v>
      </c>
      <c r="F75" s="8">
        <v>45832.984722222223</v>
      </c>
      <c r="G75">
        <v>1</v>
      </c>
      <c r="H75">
        <v>2</v>
      </c>
      <c r="I75" t="str">
        <f t="shared" si="2"/>
        <v>63072025062200535304</v>
      </c>
      <c r="J75" t="str">
        <f>VLOOKUP(A75,Comuna_empresa!B:E,4,0)</f>
        <v>San Esteban</v>
      </c>
    </row>
    <row r="76" spans="1:10">
      <c r="A76">
        <v>5304</v>
      </c>
      <c r="B76" s="7" t="s">
        <v>73</v>
      </c>
      <c r="C76">
        <v>1</v>
      </c>
      <c r="D76">
        <v>125062190</v>
      </c>
      <c r="E76" s="8">
        <v>45829.984722222223</v>
      </c>
      <c r="F76" s="8">
        <v>45832.984722222223</v>
      </c>
      <c r="G76">
        <v>1</v>
      </c>
      <c r="H76">
        <v>2</v>
      </c>
      <c r="I76" t="str">
        <f t="shared" si="2"/>
        <v>63072025062200555304</v>
      </c>
      <c r="J76" t="str">
        <f>VLOOKUP(A76,Comuna_empresa!B:E,4,0)</f>
        <v>San Esteban</v>
      </c>
    </row>
    <row r="77" spans="1:10">
      <c r="A77">
        <v>5304</v>
      </c>
      <c r="B77" s="7" t="s">
        <v>74</v>
      </c>
      <c r="C77">
        <v>1</v>
      </c>
      <c r="D77">
        <v>125062191</v>
      </c>
      <c r="E77" s="8">
        <v>45829.984722222223</v>
      </c>
      <c r="F77" s="8">
        <v>45832.984722222223</v>
      </c>
      <c r="G77">
        <v>1</v>
      </c>
      <c r="H77">
        <v>2</v>
      </c>
      <c r="I77" t="str">
        <f t="shared" si="2"/>
        <v>63072025062200785304</v>
      </c>
      <c r="J77" t="str">
        <f>VLOOKUP(A77,Comuna_empresa!B:E,4,0)</f>
        <v>San Esteban</v>
      </c>
    </row>
    <row r="78" spans="1:10">
      <c r="A78">
        <v>5304</v>
      </c>
      <c r="B78" s="7" t="s">
        <v>76</v>
      </c>
      <c r="C78">
        <v>1</v>
      </c>
      <c r="D78">
        <v>125062192</v>
      </c>
      <c r="E78" s="8">
        <v>45829.984722222223</v>
      </c>
      <c r="F78" s="8">
        <v>45832.984722222223</v>
      </c>
      <c r="G78">
        <v>1</v>
      </c>
      <c r="H78">
        <v>2</v>
      </c>
      <c r="I78" t="str">
        <f t="shared" si="2"/>
        <v>63072025062300405304</v>
      </c>
      <c r="J78" t="str">
        <f>VLOOKUP(A78,Comuna_empresa!B:E,4,0)</f>
        <v>San Esteban</v>
      </c>
    </row>
    <row r="79" spans="1:10">
      <c r="A79">
        <v>5304</v>
      </c>
      <c r="B79" s="7" t="s">
        <v>77</v>
      </c>
      <c r="C79">
        <v>1</v>
      </c>
      <c r="D79">
        <v>125062193</v>
      </c>
      <c r="E79" s="8">
        <v>45829.984722222223</v>
      </c>
      <c r="F79" s="8">
        <v>45832.984722222223</v>
      </c>
      <c r="G79">
        <v>1</v>
      </c>
      <c r="H79">
        <v>2</v>
      </c>
      <c r="I79" t="str">
        <f t="shared" si="2"/>
        <v>63072025062300425304</v>
      </c>
      <c r="J79" t="str">
        <f>VLOOKUP(A79,Comuna_empresa!B:E,4,0)</f>
        <v>San Esteban</v>
      </c>
    </row>
    <row r="80" spans="1:10">
      <c r="A80">
        <v>5304</v>
      </c>
      <c r="B80" s="7" t="s">
        <v>78</v>
      </c>
      <c r="C80">
        <v>1</v>
      </c>
      <c r="D80">
        <v>125062194</v>
      </c>
      <c r="E80" s="8">
        <v>45829.984722222223</v>
      </c>
      <c r="F80" s="8">
        <v>45832.984722222223</v>
      </c>
      <c r="G80">
        <v>1</v>
      </c>
      <c r="H80">
        <v>2</v>
      </c>
      <c r="I80" t="str">
        <f t="shared" si="2"/>
        <v>63072025062300605304</v>
      </c>
      <c r="J80" t="str">
        <f>VLOOKUP(A80,Comuna_empresa!B:E,4,0)</f>
        <v>San Esteban</v>
      </c>
    </row>
    <row r="81" spans="1:10">
      <c r="A81">
        <v>5304</v>
      </c>
      <c r="B81" s="7" t="s">
        <v>79</v>
      </c>
      <c r="C81">
        <v>1</v>
      </c>
      <c r="D81">
        <v>125062195</v>
      </c>
      <c r="E81" s="8">
        <v>45829.984722222223</v>
      </c>
      <c r="F81" s="8">
        <v>45832.984722222223</v>
      </c>
      <c r="G81">
        <v>1</v>
      </c>
      <c r="H81">
        <v>2</v>
      </c>
      <c r="I81" t="str">
        <f t="shared" si="2"/>
        <v>63072025062400585304</v>
      </c>
      <c r="J81" t="str">
        <f>VLOOKUP(A81,Comuna_empresa!B:E,4,0)</f>
        <v>San Esteban</v>
      </c>
    </row>
    <row r="82" spans="1:10">
      <c r="A82">
        <v>5304</v>
      </c>
      <c r="B82" s="7" t="s">
        <v>80</v>
      </c>
      <c r="C82">
        <v>1</v>
      </c>
      <c r="D82">
        <v>125062196</v>
      </c>
      <c r="E82" s="8">
        <v>45829.984722222223</v>
      </c>
      <c r="F82" s="8">
        <v>45832.984722222223</v>
      </c>
      <c r="G82">
        <v>1</v>
      </c>
      <c r="H82">
        <v>2</v>
      </c>
      <c r="I82" t="str">
        <f t="shared" si="2"/>
        <v>63072025062400925304</v>
      </c>
      <c r="J82" t="str">
        <f>VLOOKUP(A82,Comuna_empresa!B:E,4,0)</f>
        <v>San Esteban</v>
      </c>
    </row>
    <row r="83" spans="1:10">
      <c r="A83">
        <v>5304</v>
      </c>
      <c r="B83" s="7" t="s">
        <v>81</v>
      </c>
      <c r="C83">
        <v>1</v>
      </c>
      <c r="D83">
        <v>125062197</v>
      </c>
      <c r="E83" s="8">
        <v>45829.984722222223</v>
      </c>
      <c r="F83" s="8">
        <v>45832.984722222223</v>
      </c>
      <c r="G83">
        <v>1</v>
      </c>
      <c r="H83">
        <v>2</v>
      </c>
      <c r="I83" t="str">
        <f t="shared" si="2"/>
        <v>63072025062400945304</v>
      </c>
      <c r="J83" t="str">
        <f>VLOOKUP(A83,Comuna_empresa!B:E,4,0)</f>
        <v>San Esteban</v>
      </c>
    </row>
    <row r="84" spans="1:10">
      <c r="A84">
        <v>5304</v>
      </c>
      <c r="B84" s="7" t="s">
        <v>82</v>
      </c>
      <c r="C84">
        <v>1</v>
      </c>
      <c r="D84">
        <v>125062198</v>
      </c>
      <c r="E84" s="8">
        <v>45829.984722222223</v>
      </c>
      <c r="F84" s="8">
        <v>45832.984722222223</v>
      </c>
      <c r="G84">
        <v>1</v>
      </c>
      <c r="H84">
        <v>2</v>
      </c>
      <c r="I84" t="str">
        <f t="shared" si="2"/>
        <v>63072025062400975304</v>
      </c>
      <c r="J84" t="str">
        <f>VLOOKUP(A84,Comuna_empresa!B:E,4,0)</f>
        <v>San Esteban</v>
      </c>
    </row>
    <row r="85" spans="1:10">
      <c r="A85">
        <v>5601</v>
      </c>
      <c r="B85" s="7" t="s">
        <v>88</v>
      </c>
      <c r="C85">
        <v>1</v>
      </c>
      <c r="D85">
        <v>125062881</v>
      </c>
      <c r="E85" s="8">
        <v>45834.954861111109</v>
      </c>
      <c r="F85" s="8">
        <v>45836.829861111109</v>
      </c>
      <c r="G85">
        <v>4</v>
      </c>
      <c r="H85">
        <v>2</v>
      </c>
      <c r="I85" t="str">
        <f t="shared" ref="I85:I100" si="3">"6307"&amp;MID(B85,7,18)&amp;A85</f>
        <v>63072025062600755601</v>
      </c>
      <c r="J85" t="str">
        <f>VLOOKUP(A85,Comuna_empresa!B:E,4,0)</f>
        <v>San Antonio</v>
      </c>
    </row>
    <row r="86" spans="1:10">
      <c r="A86">
        <v>5601</v>
      </c>
      <c r="B86" s="7" t="s">
        <v>88</v>
      </c>
      <c r="C86">
        <v>2</v>
      </c>
      <c r="D86">
        <v>125062882</v>
      </c>
      <c r="E86" s="8">
        <v>45834.954861111109</v>
      </c>
      <c r="F86" s="8">
        <v>45836.829861111109</v>
      </c>
      <c r="G86">
        <v>4</v>
      </c>
      <c r="H86">
        <v>2</v>
      </c>
      <c r="I86" t="str">
        <f t="shared" si="3"/>
        <v>63072025062600755601</v>
      </c>
      <c r="J86" t="str">
        <f>VLOOKUP(A86,Comuna_empresa!B:E,4,0)</f>
        <v>San Antonio</v>
      </c>
    </row>
    <row r="87" spans="1:10">
      <c r="A87">
        <v>5601</v>
      </c>
      <c r="B87" s="7" t="s">
        <v>89</v>
      </c>
      <c r="C87">
        <v>1</v>
      </c>
      <c r="D87">
        <v>125062883</v>
      </c>
      <c r="E87" s="8">
        <v>45834.954861111109</v>
      </c>
      <c r="F87" s="8">
        <v>45836.829861111109</v>
      </c>
      <c r="G87">
        <v>4</v>
      </c>
      <c r="H87">
        <v>2</v>
      </c>
      <c r="I87" t="str">
        <f t="shared" si="3"/>
        <v>63072025062601035601</v>
      </c>
      <c r="J87" t="str">
        <f>VLOOKUP(A87,Comuna_empresa!B:E,4,0)</f>
        <v>San Antonio</v>
      </c>
    </row>
    <row r="88" spans="1:10">
      <c r="A88">
        <v>5601</v>
      </c>
      <c r="B88" s="7" t="s">
        <v>90</v>
      </c>
      <c r="C88">
        <v>1</v>
      </c>
      <c r="D88">
        <v>125062884</v>
      </c>
      <c r="E88" s="8">
        <v>45834.954861111109</v>
      </c>
      <c r="F88" s="8">
        <v>45836.829861111109</v>
      </c>
      <c r="G88">
        <v>1</v>
      </c>
      <c r="H88">
        <v>2</v>
      </c>
      <c r="I88" t="str">
        <f t="shared" si="3"/>
        <v>63072025062601055601</v>
      </c>
      <c r="J88" t="str">
        <f>VLOOKUP(A88,Comuna_empresa!B:E,4,0)</f>
        <v>San Antonio</v>
      </c>
    </row>
    <row r="89" spans="1:10">
      <c r="A89">
        <v>5601</v>
      </c>
      <c r="B89" s="7" t="s">
        <v>91</v>
      </c>
      <c r="C89">
        <v>1</v>
      </c>
      <c r="D89">
        <v>125062885</v>
      </c>
      <c r="E89" s="8">
        <v>45834.954861111109</v>
      </c>
      <c r="F89" s="8">
        <v>45836.829861111109</v>
      </c>
      <c r="G89">
        <v>1</v>
      </c>
      <c r="H89">
        <v>2</v>
      </c>
      <c r="I89" t="str">
        <f t="shared" si="3"/>
        <v>63072025062601075601</v>
      </c>
      <c r="J89" t="str">
        <f>VLOOKUP(A89,Comuna_empresa!B:E,4,0)</f>
        <v>San Antonio</v>
      </c>
    </row>
    <row r="90" spans="1:10">
      <c r="A90">
        <v>5601</v>
      </c>
      <c r="B90" s="7" t="s">
        <v>92</v>
      </c>
      <c r="C90">
        <v>1</v>
      </c>
      <c r="D90">
        <v>125062886</v>
      </c>
      <c r="E90" s="8">
        <v>45834.954861111109</v>
      </c>
      <c r="F90" s="8">
        <v>45836.829861111109</v>
      </c>
      <c r="G90">
        <v>1</v>
      </c>
      <c r="H90">
        <v>2</v>
      </c>
      <c r="I90" t="str">
        <f t="shared" si="3"/>
        <v>63072025062700035601</v>
      </c>
      <c r="J90" t="str">
        <f>VLOOKUP(A90,Comuna_empresa!B:E,4,0)</f>
        <v>San Antonio</v>
      </c>
    </row>
    <row r="91" spans="1:10">
      <c r="A91">
        <v>5601</v>
      </c>
      <c r="B91" s="7" t="s">
        <v>93</v>
      </c>
      <c r="C91">
        <v>1</v>
      </c>
      <c r="D91">
        <v>125062887</v>
      </c>
      <c r="E91" s="8">
        <v>45834.954861111109</v>
      </c>
      <c r="F91" s="8">
        <v>45836.829861111109</v>
      </c>
      <c r="G91">
        <v>1</v>
      </c>
      <c r="H91">
        <v>2</v>
      </c>
      <c r="I91" t="str">
        <f t="shared" si="3"/>
        <v>63072025062700055601</v>
      </c>
      <c r="J91" t="str">
        <f>VLOOKUP(A91,Comuna_empresa!B:E,4,0)</f>
        <v>San Antonio</v>
      </c>
    </row>
    <row r="92" spans="1:10">
      <c r="A92">
        <v>5601</v>
      </c>
      <c r="B92" s="7" t="s">
        <v>94</v>
      </c>
      <c r="C92">
        <v>1</v>
      </c>
      <c r="D92">
        <v>125062888</v>
      </c>
      <c r="E92" s="8">
        <v>45834.954861111109</v>
      </c>
      <c r="F92" s="8">
        <v>45836.829861111109</v>
      </c>
      <c r="G92">
        <v>1</v>
      </c>
      <c r="H92">
        <v>2</v>
      </c>
      <c r="I92" t="str">
        <f t="shared" si="3"/>
        <v>63072025062700165601</v>
      </c>
      <c r="J92" t="str">
        <f>VLOOKUP(A92,Comuna_empresa!B:E,4,0)</f>
        <v>San Antonio</v>
      </c>
    </row>
    <row r="93" spans="1:10">
      <c r="A93">
        <v>5601</v>
      </c>
      <c r="B93" s="7" t="s">
        <v>95</v>
      </c>
      <c r="C93">
        <v>1</v>
      </c>
      <c r="D93">
        <v>125062889</v>
      </c>
      <c r="E93" s="8">
        <v>45834.954861111109</v>
      </c>
      <c r="F93" s="8">
        <v>45836.829861111109</v>
      </c>
      <c r="G93">
        <v>1</v>
      </c>
      <c r="H93">
        <v>2</v>
      </c>
      <c r="I93" t="str">
        <f t="shared" si="3"/>
        <v>63072025062700225601</v>
      </c>
      <c r="J93" t="str">
        <f>VLOOKUP(A93,Comuna_empresa!B:E,4,0)</f>
        <v>San Antonio</v>
      </c>
    </row>
    <row r="94" spans="1:10">
      <c r="A94">
        <v>5601</v>
      </c>
      <c r="B94" s="7" t="s">
        <v>96</v>
      </c>
      <c r="C94">
        <v>1</v>
      </c>
      <c r="D94">
        <v>125062890</v>
      </c>
      <c r="E94" s="8">
        <v>45834.954861111109</v>
      </c>
      <c r="F94" s="8">
        <v>45836.829861111109</v>
      </c>
      <c r="G94">
        <v>4</v>
      </c>
      <c r="H94">
        <v>2</v>
      </c>
      <c r="I94" t="str">
        <f t="shared" si="3"/>
        <v>63072025062700295601</v>
      </c>
      <c r="J94" t="str">
        <f>VLOOKUP(A94,Comuna_empresa!B:E,4,0)</f>
        <v>San Antonio</v>
      </c>
    </row>
    <row r="95" spans="1:10">
      <c r="A95">
        <v>5601</v>
      </c>
      <c r="B95" s="7" t="s">
        <v>97</v>
      </c>
      <c r="C95">
        <v>1</v>
      </c>
      <c r="D95">
        <v>125062891</v>
      </c>
      <c r="E95" s="8">
        <v>45834.954861111109</v>
      </c>
      <c r="F95" s="8">
        <v>45836.829861111109</v>
      </c>
      <c r="G95">
        <v>4</v>
      </c>
      <c r="H95">
        <v>2</v>
      </c>
      <c r="I95" t="str">
        <f t="shared" si="3"/>
        <v>63072025062700305601</v>
      </c>
      <c r="J95" t="str">
        <f>VLOOKUP(A95,Comuna_empresa!B:E,4,0)</f>
        <v>San Antonio</v>
      </c>
    </row>
    <row r="96" spans="1:10">
      <c r="A96">
        <v>5601</v>
      </c>
      <c r="B96" s="7" t="s">
        <v>97</v>
      </c>
      <c r="C96">
        <v>2</v>
      </c>
      <c r="D96">
        <v>125062892</v>
      </c>
      <c r="E96" s="8">
        <v>45834.954861111109</v>
      </c>
      <c r="F96" s="8">
        <v>45836.829861111109</v>
      </c>
      <c r="G96">
        <v>4</v>
      </c>
      <c r="H96">
        <v>2</v>
      </c>
      <c r="I96" t="str">
        <f t="shared" si="3"/>
        <v>63072025062700305601</v>
      </c>
      <c r="J96" t="str">
        <f>VLOOKUP(A96,Comuna_empresa!B:E,4,0)</f>
        <v>San Antonio</v>
      </c>
    </row>
    <row r="97" spans="1:10">
      <c r="A97">
        <v>5601</v>
      </c>
      <c r="B97" s="7" t="s">
        <v>98</v>
      </c>
      <c r="C97">
        <v>1</v>
      </c>
      <c r="D97">
        <v>125062893</v>
      </c>
      <c r="E97" s="8">
        <v>45834.954861111109</v>
      </c>
      <c r="F97" s="8">
        <v>45836.829861111109</v>
      </c>
      <c r="G97">
        <v>1</v>
      </c>
      <c r="H97">
        <v>2</v>
      </c>
      <c r="I97" t="str">
        <f t="shared" si="3"/>
        <v>63072025062700495601</v>
      </c>
      <c r="J97" t="str">
        <f>VLOOKUP(A97,Comuna_empresa!B:E,4,0)</f>
        <v>San Antonio</v>
      </c>
    </row>
    <row r="98" spans="1:10">
      <c r="A98">
        <v>5601</v>
      </c>
      <c r="B98" s="7" t="s">
        <v>99</v>
      </c>
      <c r="C98">
        <v>1</v>
      </c>
      <c r="D98">
        <v>125062894</v>
      </c>
      <c r="E98" s="8">
        <v>45834.954861111109</v>
      </c>
      <c r="F98" s="8">
        <v>45836.829861111109</v>
      </c>
      <c r="G98">
        <v>1</v>
      </c>
      <c r="H98">
        <v>2</v>
      </c>
      <c r="I98" t="str">
        <f t="shared" si="3"/>
        <v>63072025062700935601</v>
      </c>
      <c r="J98" t="str">
        <f>VLOOKUP(A98,Comuna_empresa!B:E,4,0)</f>
        <v>San Antonio</v>
      </c>
    </row>
    <row r="99" spans="1:10">
      <c r="A99">
        <v>5601</v>
      </c>
      <c r="B99" s="7" t="s">
        <v>100</v>
      </c>
      <c r="C99">
        <v>1</v>
      </c>
      <c r="D99">
        <v>125062895</v>
      </c>
      <c r="E99" s="8">
        <v>45834.954861111109</v>
      </c>
      <c r="F99" s="8">
        <v>45836.829861111109</v>
      </c>
      <c r="G99">
        <v>1</v>
      </c>
      <c r="H99">
        <v>2</v>
      </c>
      <c r="I99" t="str">
        <f t="shared" si="3"/>
        <v>63072025062700955601</v>
      </c>
      <c r="J99" t="str">
        <f>VLOOKUP(A99,Comuna_empresa!B:E,4,0)</f>
        <v>San Antonio</v>
      </c>
    </row>
    <row r="100" spans="1:10">
      <c r="A100">
        <v>5601</v>
      </c>
      <c r="B100" s="7" t="s">
        <v>101</v>
      </c>
      <c r="C100">
        <v>1</v>
      </c>
      <c r="D100">
        <v>125062896</v>
      </c>
      <c r="E100" s="8">
        <v>45834.954861111109</v>
      </c>
      <c r="F100" s="8">
        <v>45836.829861111109</v>
      </c>
      <c r="G100">
        <v>1</v>
      </c>
      <c r="H100">
        <v>2</v>
      </c>
      <c r="I100" t="str">
        <f t="shared" si="3"/>
        <v>63072025062701085601</v>
      </c>
      <c r="J100" t="str">
        <f>VLOOKUP(A100,Comuna_empresa!B:E,4,0)</f>
        <v>San Antonio</v>
      </c>
    </row>
    <row r="101" spans="1:10">
      <c r="A101">
        <v>5603</v>
      </c>
      <c r="B101" s="7" t="s">
        <v>83</v>
      </c>
      <c r="C101">
        <v>1</v>
      </c>
      <c r="D101">
        <v>125063004</v>
      </c>
      <c r="E101" s="8">
        <v>45834.025694444441</v>
      </c>
      <c r="F101" s="8">
        <v>45835.900694444441</v>
      </c>
      <c r="G101">
        <v>4</v>
      </c>
      <c r="H101">
        <v>2</v>
      </c>
      <c r="I101" t="str">
        <f t="shared" ref="I101:I119" si="4">"6307"&amp;MID(B101,7,18)&amp;A101</f>
        <v>63072025062600015603</v>
      </c>
      <c r="J101" t="str">
        <f>VLOOKUP(A101,Comuna_empresa!B:E,4,0)</f>
        <v>Cartagena</v>
      </c>
    </row>
    <row r="102" spans="1:10">
      <c r="A102">
        <v>5603</v>
      </c>
      <c r="B102" s="7" t="s">
        <v>84</v>
      </c>
      <c r="C102">
        <v>1</v>
      </c>
      <c r="D102">
        <v>125063005</v>
      </c>
      <c r="E102" s="8">
        <v>45834.025694444441</v>
      </c>
      <c r="F102" s="8">
        <v>45835.900694444441</v>
      </c>
      <c r="G102">
        <v>1</v>
      </c>
      <c r="H102">
        <v>2</v>
      </c>
      <c r="I102" t="str">
        <f t="shared" si="4"/>
        <v>63072025062600055603</v>
      </c>
      <c r="J102" t="str">
        <f>VLOOKUP(A102,Comuna_empresa!B:E,4,0)</f>
        <v>Cartagena</v>
      </c>
    </row>
    <row r="103" spans="1:10">
      <c r="A103">
        <v>5603</v>
      </c>
      <c r="B103" s="7" t="s">
        <v>85</v>
      </c>
      <c r="C103">
        <v>1</v>
      </c>
      <c r="D103">
        <v>125063006</v>
      </c>
      <c r="E103" s="8">
        <v>45834.025694444441</v>
      </c>
      <c r="F103" s="8">
        <v>45835.900694444441</v>
      </c>
      <c r="G103">
        <v>8</v>
      </c>
      <c r="H103">
        <v>2</v>
      </c>
      <c r="I103" t="str">
        <f t="shared" si="4"/>
        <v>63072025062600065603</v>
      </c>
      <c r="J103" t="str">
        <f>VLOOKUP(A103,Comuna_empresa!B:E,4,0)</f>
        <v>Cartagena</v>
      </c>
    </row>
    <row r="104" spans="1:10">
      <c r="A104">
        <v>5603</v>
      </c>
      <c r="B104" s="7" t="s">
        <v>86</v>
      </c>
      <c r="C104">
        <v>1</v>
      </c>
      <c r="D104">
        <v>125063007</v>
      </c>
      <c r="E104" s="8">
        <v>45834.025694444441</v>
      </c>
      <c r="F104" s="8">
        <v>45835.900694444441</v>
      </c>
      <c r="G104">
        <v>8</v>
      </c>
      <c r="H104">
        <v>2</v>
      </c>
      <c r="I104" t="str">
        <f t="shared" si="4"/>
        <v>63072025062600075603</v>
      </c>
      <c r="J104" t="str">
        <f>VLOOKUP(A104,Comuna_empresa!B:E,4,0)</f>
        <v>Cartagena</v>
      </c>
    </row>
    <row r="105" spans="1:10">
      <c r="A105">
        <v>5603</v>
      </c>
      <c r="B105" s="7" t="s">
        <v>87</v>
      </c>
      <c r="C105">
        <v>1</v>
      </c>
      <c r="D105">
        <v>125063008</v>
      </c>
      <c r="E105" s="8">
        <v>45834.025694444441</v>
      </c>
      <c r="F105" s="8">
        <v>45835.900694444441</v>
      </c>
      <c r="G105">
        <v>4</v>
      </c>
      <c r="H105">
        <v>2</v>
      </c>
      <c r="I105" t="str">
        <f t="shared" si="4"/>
        <v>63072025062600145603</v>
      </c>
      <c r="J105" t="str">
        <f>VLOOKUP(A105,Comuna_empresa!B:E,4,0)</f>
        <v>Cartagena</v>
      </c>
    </row>
    <row r="106" spans="1:10">
      <c r="A106">
        <v>5603</v>
      </c>
      <c r="B106" s="7" t="s">
        <v>87</v>
      </c>
      <c r="C106">
        <v>2</v>
      </c>
      <c r="D106">
        <v>125063009</v>
      </c>
      <c r="E106" s="8">
        <v>45834.025694444441</v>
      </c>
      <c r="F106" s="8">
        <v>45835.900694444441</v>
      </c>
      <c r="G106">
        <v>4</v>
      </c>
      <c r="H106">
        <v>2</v>
      </c>
      <c r="I106" t="str">
        <f t="shared" si="4"/>
        <v>63072025062600145603</v>
      </c>
      <c r="J106" t="str">
        <f>VLOOKUP(A106,Comuna_empresa!B:E,4,0)</f>
        <v>Cartagena</v>
      </c>
    </row>
    <row r="107" spans="1:10">
      <c r="A107">
        <v>5603</v>
      </c>
      <c r="B107" s="7" t="s">
        <v>102</v>
      </c>
      <c r="C107">
        <v>1</v>
      </c>
      <c r="D107">
        <v>125063010</v>
      </c>
      <c r="E107" s="8">
        <v>45834.025694444441</v>
      </c>
      <c r="F107" s="8">
        <v>45835.900694444441</v>
      </c>
      <c r="G107">
        <v>1</v>
      </c>
      <c r="H107">
        <v>2</v>
      </c>
      <c r="I107" t="str">
        <f t="shared" si="4"/>
        <v>63072025062600305603</v>
      </c>
      <c r="J107" t="str">
        <f>VLOOKUP(A107,Comuna_empresa!B:E,4,0)</f>
        <v>Cartagena</v>
      </c>
    </row>
    <row r="108" spans="1:10">
      <c r="A108">
        <v>5603</v>
      </c>
      <c r="B108" s="7" t="s">
        <v>88</v>
      </c>
      <c r="C108">
        <v>1</v>
      </c>
      <c r="D108">
        <v>125063011</v>
      </c>
      <c r="E108" s="8">
        <v>45834.025694444441</v>
      </c>
      <c r="F108" s="8">
        <v>45835.900694444441</v>
      </c>
      <c r="G108">
        <v>4</v>
      </c>
      <c r="H108">
        <v>2</v>
      </c>
      <c r="I108" t="str">
        <f t="shared" si="4"/>
        <v>63072025062600755603</v>
      </c>
      <c r="J108" t="str">
        <f>VLOOKUP(A108,Comuna_empresa!B:E,4,0)</f>
        <v>Cartagena</v>
      </c>
    </row>
    <row r="109" spans="1:10">
      <c r="A109">
        <v>5603</v>
      </c>
      <c r="B109" s="7" t="s">
        <v>88</v>
      </c>
      <c r="C109">
        <v>2</v>
      </c>
      <c r="D109">
        <v>125063012</v>
      </c>
      <c r="E109" s="8">
        <v>45834.025694444441</v>
      </c>
      <c r="F109" s="8">
        <v>45835.900694444441</v>
      </c>
      <c r="G109">
        <v>4</v>
      </c>
      <c r="H109">
        <v>2</v>
      </c>
      <c r="I109" t="str">
        <f t="shared" si="4"/>
        <v>63072025062600755603</v>
      </c>
      <c r="J109" t="str">
        <f>VLOOKUP(A109,Comuna_empresa!B:E,4,0)</f>
        <v>Cartagena</v>
      </c>
    </row>
    <row r="110" spans="1:10">
      <c r="A110">
        <v>5603</v>
      </c>
      <c r="B110" s="7" t="s">
        <v>89</v>
      </c>
      <c r="C110">
        <v>1</v>
      </c>
      <c r="D110">
        <v>125063013</v>
      </c>
      <c r="E110" s="8">
        <v>45834.025694444441</v>
      </c>
      <c r="F110" s="8">
        <v>45835.900694444441</v>
      </c>
      <c r="G110">
        <v>4</v>
      </c>
      <c r="H110">
        <v>2</v>
      </c>
      <c r="I110" t="str">
        <f t="shared" si="4"/>
        <v>63072025062601035603</v>
      </c>
      <c r="J110" t="str">
        <f>VLOOKUP(A110,Comuna_empresa!B:E,4,0)</f>
        <v>Cartagena</v>
      </c>
    </row>
    <row r="111" spans="1:10">
      <c r="A111">
        <v>5603</v>
      </c>
      <c r="B111" s="7" t="s">
        <v>92</v>
      </c>
      <c r="C111">
        <v>1</v>
      </c>
      <c r="D111">
        <v>125063014</v>
      </c>
      <c r="E111" s="8">
        <v>45834.025694444441</v>
      </c>
      <c r="F111" s="8">
        <v>45835.900694444441</v>
      </c>
      <c r="G111">
        <v>1</v>
      </c>
      <c r="H111">
        <v>2</v>
      </c>
      <c r="I111" t="str">
        <f t="shared" si="4"/>
        <v>63072025062700035603</v>
      </c>
      <c r="J111" t="str">
        <f>VLOOKUP(A111,Comuna_empresa!B:E,4,0)</f>
        <v>Cartagena</v>
      </c>
    </row>
    <row r="112" spans="1:10">
      <c r="A112">
        <v>5603</v>
      </c>
      <c r="B112" s="7" t="s">
        <v>93</v>
      </c>
      <c r="C112">
        <v>1</v>
      </c>
      <c r="D112">
        <v>125063015</v>
      </c>
      <c r="E112" s="8">
        <v>45834.025694444441</v>
      </c>
      <c r="F112" s="8">
        <v>45835.900694444441</v>
      </c>
      <c r="G112">
        <v>1</v>
      </c>
      <c r="H112">
        <v>2</v>
      </c>
      <c r="I112" t="str">
        <f t="shared" si="4"/>
        <v>63072025062700055603</v>
      </c>
      <c r="J112" t="str">
        <f>VLOOKUP(A112,Comuna_empresa!B:E,4,0)</f>
        <v>Cartagena</v>
      </c>
    </row>
    <row r="113" spans="1:10">
      <c r="A113">
        <v>5603</v>
      </c>
      <c r="B113" s="7" t="s">
        <v>103</v>
      </c>
      <c r="C113">
        <v>1</v>
      </c>
      <c r="D113">
        <v>125063016</v>
      </c>
      <c r="E113" s="8">
        <v>45834.025694444441</v>
      </c>
      <c r="F113" s="8">
        <v>45835.900694444441</v>
      </c>
      <c r="G113">
        <v>4</v>
      </c>
      <c r="H113">
        <v>2</v>
      </c>
      <c r="I113" t="str">
        <f t="shared" si="4"/>
        <v>63072025062700405603</v>
      </c>
      <c r="J113" t="str">
        <f>VLOOKUP(A113,Comuna_empresa!B:E,4,0)</f>
        <v>Cartagena</v>
      </c>
    </row>
    <row r="114" spans="1:10">
      <c r="A114">
        <v>5603</v>
      </c>
      <c r="B114" s="7" t="s">
        <v>104</v>
      </c>
      <c r="C114">
        <v>1</v>
      </c>
      <c r="D114">
        <v>125063017</v>
      </c>
      <c r="E114" s="8">
        <v>45834.025694444441</v>
      </c>
      <c r="F114" s="8">
        <v>45835.900694444441</v>
      </c>
      <c r="G114">
        <v>1</v>
      </c>
      <c r="H114">
        <v>2</v>
      </c>
      <c r="I114" t="str">
        <f t="shared" si="4"/>
        <v>63072025062700975603</v>
      </c>
      <c r="J114" t="str">
        <f>VLOOKUP(A114,Comuna_empresa!B:E,4,0)</f>
        <v>Cartagena</v>
      </c>
    </row>
    <row r="115" spans="1:10">
      <c r="A115">
        <v>5603</v>
      </c>
      <c r="B115" s="7" t="s">
        <v>105</v>
      </c>
      <c r="C115">
        <v>1</v>
      </c>
      <c r="D115">
        <v>125063018</v>
      </c>
      <c r="E115" s="8">
        <v>45834.025694444441</v>
      </c>
      <c r="F115" s="8">
        <v>45835.900694444441</v>
      </c>
      <c r="G115">
        <v>1</v>
      </c>
      <c r="H115">
        <v>2</v>
      </c>
      <c r="I115" t="str">
        <f t="shared" si="4"/>
        <v>63072025062700995603</v>
      </c>
      <c r="J115" t="str">
        <f>VLOOKUP(A115,Comuna_empresa!B:E,4,0)</f>
        <v>Cartagena</v>
      </c>
    </row>
    <row r="116" spans="1:10">
      <c r="A116">
        <v>5603</v>
      </c>
      <c r="B116" s="7" t="s">
        <v>106</v>
      </c>
      <c r="C116">
        <v>1</v>
      </c>
      <c r="D116">
        <v>125063019</v>
      </c>
      <c r="E116" s="8">
        <v>45834.025694444441</v>
      </c>
      <c r="F116" s="8">
        <v>45835.900694444441</v>
      </c>
      <c r="G116">
        <v>1</v>
      </c>
      <c r="H116">
        <v>2</v>
      </c>
      <c r="I116" t="str">
        <f t="shared" si="4"/>
        <v>63072025062701015603</v>
      </c>
      <c r="J116" t="str">
        <f>VLOOKUP(A116,Comuna_empresa!B:E,4,0)</f>
        <v>Cartagena</v>
      </c>
    </row>
    <row r="117" spans="1:10">
      <c r="A117">
        <v>5603</v>
      </c>
      <c r="B117" s="7" t="s">
        <v>107</v>
      </c>
      <c r="C117">
        <v>1</v>
      </c>
      <c r="D117">
        <v>125063020</v>
      </c>
      <c r="E117" s="8">
        <v>45834.025694444441</v>
      </c>
      <c r="F117" s="8">
        <v>45835.900694444441</v>
      </c>
      <c r="G117">
        <v>1</v>
      </c>
      <c r="H117">
        <v>2</v>
      </c>
      <c r="I117" t="str">
        <f t="shared" si="4"/>
        <v>63072025062701055603</v>
      </c>
      <c r="J117" t="str">
        <f>VLOOKUP(A117,Comuna_empresa!B:E,4,0)</f>
        <v>Cartagena</v>
      </c>
    </row>
    <row r="118" spans="1:10">
      <c r="A118">
        <v>5605</v>
      </c>
      <c r="B118" s="7" t="s">
        <v>83</v>
      </c>
      <c r="C118">
        <v>1</v>
      </c>
      <c r="D118">
        <v>125063031</v>
      </c>
      <c r="E118" s="8">
        <v>45834.025694444441</v>
      </c>
      <c r="F118" s="8">
        <v>45837.400694444441</v>
      </c>
      <c r="G118">
        <v>4</v>
      </c>
      <c r="H118">
        <v>2</v>
      </c>
      <c r="I118" t="str">
        <f t="shared" si="4"/>
        <v>63072025062600015605</v>
      </c>
      <c r="J118" t="str">
        <f>VLOOKUP(A118,Comuna_empresa!B:E,4,0)</f>
        <v>El Tabo</v>
      </c>
    </row>
    <row r="119" spans="1:10">
      <c r="A119">
        <v>5605</v>
      </c>
      <c r="B119" s="7" t="s">
        <v>85</v>
      </c>
      <c r="C119">
        <v>1</v>
      </c>
      <c r="D119">
        <v>125063032</v>
      </c>
      <c r="E119" s="8">
        <v>45834.025694444441</v>
      </c>
      <c r="F119" s="8">
        <v>45837.400694444441</v>
      </c>
      <c r="G119">
        <v>8</v>
      </c>
      <c r="H119">
        <v>2</v>
      </c>
      <c r="I119" t="str">
        <f t="shared" si="4"/>
        <v>63072025062600065605</v>
      </c>
      <c r="J119" t="str">
        <f>VLOOKUP(A119,Comuna_empresa!B:E,4,0)</f>
        <v>El Tabo</v>
      </c>
    </row>
    <row r="120" spans="1:10">
      <c r="A120">
        <v>5606</v>
      </c>
      <c r="B120" s="7" t="s">
        <v>108</v>
      </c>
      <c r="C120">
        <v>1</v>
      </c>
      <c r="D120">
        <v>125082584</v>
      </c>
      <c r="E120" s="8">
        <v>45870</v>
      </c>
      <c r="F120" s="8">
        <v>45888.947222222225</v>
      </c>
      <c r="G120">
        <v>4</v>
      </c>
      <c r="H120">
        <v>2</v>
      </c>
      <c r="I120" t="str">
        <f t="shared" ref="I120:I138" si="5">"6307"&amp;MID(B120,7,18)&amp;A120</f>
        <v>63072025081600595606</v>
      </c>
      <c r="J120" t="str">
        <f>VLOOKUP(A120,Comuna_empresa!B:E,4,0)</f>
        <v>Santo Domingo</v>
      </c>
    </row>
    <row r="121" spans="1:10">
      <c r="A121">
        <v>5601</v>
      </c>
      <c r="B121" s="7" t="s">
        <v>108</v>
      </c>
      <c r="C121">
        <v>1</v>
      </c>
      <c r="D121">
        <v>125082398</v>
      </c>
      <c r="E121" s="8">
        <v>45870</v>
      </c>
      <c r="F121" s="8">
        <v>45887.822222222225</v>
      </c>
      <c r="G121">
        <v>4</v>
      </c>
      <c r="H121">
        <v>2</v>
      </c>
      <c r="I121" t="str">
        <f t="shared" si="5"/>
        <v>63072025081600595601</v>
      </c>
      <c r="J121" t="str">
        <f>VLOOKUP(A121,Comuna_empresa!B:E,4,0)</f>
        <v>San Antonio</v>
      </c>
    </row>
    <row r="122" spans="1:10">
      <c r="A122">
        <v>5601</v>
      </c>
      <c r="B122" s="7" t="s">
        <v>108</v>
      </c>
      <c r="C122">
        <v>2</v>
      </c>
      <c r="D122">
        <v>125082399</v>
      </c>
      <c r="E122" s="8">
        <v>45870</v>
      </c>
      <c r="F122" s="8">
        <v>45887.822222222225</v>
      </c>
      <c r="G122">
        <v>4</v>
      </c>
      <c r="H122">
        <v>2</v>
      </c>
      <c r="I122" t="str">
        <f t="shared" si="5"/>
        <v>63072025081600595601</v>
      </c>
      <c r="J122" t="str">
        <f>VLOOKUP(A122,Comuna_empresa!B:E,4,0)</f>
        <v>San Antonio</v>
      </c>
    </row>
    <row r="123" spans="1:10">
      <c r="A123">
        <v>5601</v>
      </c>
      <c r="B123" s="7" t="s">
        <v>108</v>
      </c>
      <c r="C123">
        <v>3</v>
      </c>
      <c r="D123">
        <v>125082400</v>
      </c>
      <c r="E123" s="8">
        <v>45870</v>
      </c>
      <c r="F123" s="8">
        <v>45887.822222222225</v>
      </c>
      <c r="G123">
        <v>4</v>
      </c>
      <c r="H123">
        <v>2</v>
      </c>
      <c r="I123" t="str">
        <f t="shared" si="5"/>
        <v>63072025081600595601</v>
      </c>
      <c r="J123" t="str">
        <f>VLOOKUP(A123,Comuna_empresa!B:E,4,0)</f>
        <v>San Antonio</v>
      </c>
    </row>
    <row r="124" spans="1:10">
      <c r="A124">
        <v>5601</v>
      </c>
      <c r="B124" s="7" t="s">
        <v>109</v>
      </c>
      <c r="C124">
        <v>2</v>
      </c>
      <c r="D124">
        <v>125082402</v>
      </c>
      <c r="E124" s="8">
        <v>45870</v>
      </c>
      <c r="F124" s="8">
        <v>45887.822222222225</v>
      </c>
      <c r="G124">
        <v>1</v>
      </c>
      <c r="H124">
        <v>2</v>
      </c>
      <c r="I124" t="str">
        <f t="shared" si="5"/>
        <v>63072025081600635601</v>
      </c>
      <c r="J124" t="str">
        <f>VLOOKUP(A124,Comuna_empresa!B:E,4,0)</f>
        <v>San Antonio</v>
      </c>
    </row>
    <row r="125" spans="1:10">
      <c r="A125">
        <v>5601</v>
      </c>
      <c r="B125" s="7" t="s">
        <v>110</v>
      </c>
      <c r="C125">
        <v>1</v>
      </c>
      <c r="D125">
        <v>125082403</v>
      </c>
      <c r="E125" s="8">
        <v>45870</v>
      </c>
      <c r="F125" s="8">
        <v>45887.822222222225</v>
      </c>
      <c r="G125">
        <v>1</v>
      </c>
      <c r="H125">
        <v>2</v>
      </c>
      <c r="I125" t="str">
        <f t="shared" si="5"/>
        <v>63072025081600655601</v>
      </c>
      <c r="J125" t="str">
        <f>VLOOKUP(A125,Comuna_empresa!B:E,4,0)</f>
        <v>San Antonio</v>
      </c>
    </row>
    <row r="126" spans="1:10">
      <c r="A126">
        <v>5601</v>
      </c>
      <c r="B126" s="7" t="s">
        <v>111</v>
      </c>
      <c r="C126">
        <v>1</v>
      </c>
      <c r="D126">
        <v>125082404</v>
      </c>
      <c r="E126" s="8">
        <v>45870</v>
      </c>
      <c r="F126" s="8">
        <v>45887.822222222225</v>
      </c>
      <c r="G126">
        <v>1</v>
      </c>
      <c r="H126">
        <v>2</v>
      </c>
      <c r="I126" t="str">
        <f t="shared" si="5"/>
        <v>63072025081700035601</v>
      </c>
      <c r="J126" t="str">
        <f>VLOOKUP(A126,Comuna_empresa!B:E,4,0)</f>
        <v>San Antonio</v>
      </c>
    </row>
    <row r="127" spans="1:10">
      <c r="A127">
        <v>5601</v>
      </c>
      <c r="B127" s="7" t="s">
        <v>112</v>
      </c>
      <c r="C127">
        <v>1</v>
      </c>
      <c r="D127">
        <v>125082405</v>
      </c>
      <c r="E127" s="8">
        <v>45870</v>
      </c>
      <c r="F127" s="8">
        <v>45887.822222222225</v>
      </c>
      <c r="G127">
        <v>4</v>
      </c>
      <c r="H127">
        <v>2</v>
      </c>
      <c r="I127" t="str">
        <f t="shared" si="5"/>
        <v>63072025081700135601</v>
      </c>
      <c r="J127" t="str">
        <f>VLOOKUP(A127,Comuna_empresa!B:E,4,0)</f>
        <v>San Antonio</v>
      </c>
    </row>
    <row r="128" spans="1:10">
      <c r="A128">
        <v>5606</v>
      </c>
      <c r="B128" s="7" t="s">
        <v>113</v>
      </c>
      <c r="C128">
        <v>1</v>
      </c>
      <c r="D128">
        <v>125082585</v>
      </c>
      <c r="E128" s="8">
        <v>45870</v>
      </c>
      <c r="F128" s="8">
        <v>45888.947222222225</v>
      </c>
      <c r="G128">
        <v>1</v>
      </c>
      <c r="H128">
        <v>2</v>
      </c>
      <c r="I128" t="str">
        <f t="shared" si="5"/>
        <v>63072025081800075606</v>
      </c>
      <c r="J128" t="str">
        <f>VLOOKUP(A128,Comuna_empresa!B:E,4,0)</f>
        <v>Santo Domingo</v>
      </c>
    </row>
    <row r="129" spans="1:10">
      <c r="A129">
        <v>5303</v>
      </c>
      <c r="B129" s="7" t="s">
        <v>114</v>
      </c>
      <c r="C129">
        <v>1</v>
      </c>
      <c r="D129">
        <v>125081785</v>
      </c>
      <c r="E129" s="8">
        <v>45870</v>
      </c>
      <c r="F129" s="8">
        <v>45894.880555555559</v>
      </c>
      <c r="G129">
        <v>4</v>
      </c>
      <c r="H129">
        <v>2</v>
      </c>
      <c r="I129" t="str">
        <f t="shared" si="5"/>
        <v>63072025082201815303</v>
      </c>
      <c r="J129" t="str">
        <f>VLOOKUP(A129,Comuna_empresa!B:E,4,0)</f>
        <v>Rinconada</v>
      </c>
    </row>
    <row r="130" spans="1:10">
      <c r="A130">
        <v>5303</v>
      </c>
      <c r="B130" s="7" t="s">
        <v>115</v>
      </c>
      <c r="C130">
        <v>1</v>
      </c>
      <c r="D130">
        <v>125081786</v>
      </c>
      <c r="E130" s="8">
        <v>45870</v>
      </c>
      <c r="F130" s="8">
        <v>45894.880555555559</v>
      </c>
      <c r="G130">
        <v>4</v>
      </c>
      <c r="H130">
        <v>2</v>
      </c>
      <c r="I130" t="str">
        <f t="shared" si="5"/>
        <v>63072025082202045303</v>
      </c>
      <c r="J130" t="str">
        <f>VLOOKUP(A130,Comuna_empresa!B:E,4,0)</f>
        <v>Rinconada</v>
      </c>
    </row>
    <row r="131" spans="1:10">
      <c r="A131">
        <v>5303</v>
      </c>
      <c r="B131" s="7" t="s">
        <v>115</v>
      </c>
      <c r="C131">
        <v>2</v>
      </c>
      <c r="D131">
        <v>125081787</v>
      </c>
      <c r="E131" s="8">
        <v>45870</v>
      </c>
      <c r="F131" s="8">
        <v>45894.880555555559</v>
      </c>
      <c r="G131">
        <v>4</v>
      </c>
      <c r="H131">
        <v>2</v>
      </c>
      <c r="I131" t="str">
        <f t="shared" si="5"/>
        <v>63072025082202045303</v>
      </c>
      <c r="J131" t="str">
        <f>VLOOKUP(A131,Comuna_empresa!B:E,4,0)</f>
        <v>Rinconada</v>
      </c>
    </row>
    <row r="132" spans="1:10">
      <c r="A132">
        <v>5303</v>
      </c>
      <c r="B132" s="7" t="s">
        <v>115</v>
      </c>
      <c r="C132">
        <v>3</v>
      </c>
      <c r="D132">
        <v>125081788</v>
      </c>
      <c r="E132" s="8">
        <v>45870</v>
      </c>
      <c r="F132" s="8">
        <v>45894.880555555559</v>
      </c>
      <c r="G132">
        <v>4</v>
      </c>
      <c r="H132">
        <v>2</v>
      </c>
      <c r="I132" t="str">
        <f t="shared" si="5"/>
        <v>63072025082202045303</v>
      </c>
      <c r="J132" t="str">
        <f>VLOOKUP(A132,Comuna_empresa!B:E,4,0)</f>
        <v>Rinconada</v>
      </c>
    </row>
    <row r="133" spans="1:10">
      <c r="A133">
        <v>5303</v>
      </c>
      <c r="B133" s="7" t="s">
        <v>116</v>
      </c>
      <c r="C133">
        <v>1</v>
      </c>
      <c r="D133">
        <v>125081789</v>
      </c>
      <c r="E133" s="8">
        <v>45870</v>
      </c>
      <c r="F133" s="8">
        <v>45894.880555555559</v>
      </c>
      <c r="G133">
        <v>4</v>
      </c>
      <c r="H133">
        <v>2</v>
      </c>
      <c r="I133" t="str">
        <f t="shared" si="5"/>
        <v>63072025082300015303</v>
      </c>
      <c r="J133" t="str">
        <f>VLOOKUP(A133,Comuna_empresa!B:E,4,0)</f>
        <v>Rinconada</v>
      </c>
    </row>
    <row r="134" spans="1:10">
      <c r="A134">
        <v>5304</v>
      </c>
      <c r="B134" s="7" t="s">
        <v>117</v>
      </c>
      <c r="C134">
        <v>1</v>
      </c>
      <c r="D134">
        <v>125081847</v>
      </c>
      <c r="E134" s="8">
        <v>45870</v>
      </c>
      <c r="F134" s="8">
        <v>45895.533333333333</v>
      </c>
      <c r="G134">
        <v>4</v>
      </c>
      <c r="H134">
        <v>2</v>
      </c>
      <c r="I134" t="str">
        <f t="shared" si="5"/>
        <v>63072025082300355304</v>
      </c>
      <c r="J134" t="str">
        <f>VLOOKUP(A134,Comuna_empresa!B:E,4,0)</f>
        <v>San Esteban</v>
      </c>
    </row>
    <row r="135" spans="1:10">
      <c r="A135">
        <v>5304</v>
      </c>
      <c r="B135" s="7" t="s">
        <v>117</v>
      </c>
      <c r="C135">
        <v>2</v>
      </c>
      <c r="D135">
        <v>125081848</v>
      </c>
      <c r="E135" s="8">
        <v>45870</v>
      </c>
      <c r="F135" s="8">
        <v>45895.533333333333</v>
      </c>
      <c r="G135">
        <v>4</v>
      </c>
      <c r="H135">
        <v>2</v>
      </c>
      <c r="I135" t="str">
        <f t="shared" si="5"/>
        <v>63072025082300355304</v>
      </c>
      <c r="J135" t="str">
        <f>VLOOKUP(A135,Comuna_empresa!B:E,4,0)</f>
        <v>San Esteban</v>
      </c>
    </row>
    <row r="136" spans="1:10">
      <c r="A136">
        <v>5304</v>
      </c>
      <c r="B136" s="7" t="s">
        <v>118</v>
      </c>
      <c r="C136">
        <v>3</v>
      </c>
      <c r="D136">
        <v>125081849</v>
      </c>
      <c r="E136" s="8">
        <v>45870</v>
      </c>
      <c r="F136" s="8">
        <v>45895.533333333333</v>
      </c>
      <c r="G136">
        <v>4</v>
      </c>
      <c r="H136">
        <v>2</v>
      </c>
      <c r="I136" t="str">
        <f t="shared" si="5"/>
        <v>63072025082300365304</v>
      </c>
      <c r="J136" t="str">
        <f>VLOOKUP(A136,Comuna_empresa!B:E,4,0)</f>
        <v>San Esteban</v>
      </c>
    </row>
    <row r="137" spans="1:10">
      <c r="A137">
        <v>5304</v>
      </c>
      <c r="B137" s="7" t="s">
        <v>119</v>
      </c>
      <c r="C137">
        <v>1</v>
      </c>
      <c r="D137">
        <v>125081850</v>
      </c>
      <c r="E137" s="8">
        <v>45870</v>
      </c>
      <c r="F137" s="8">
        <v>45895.533333333333</v>
      </c>
      <c r="G137">
        <v>1</v>
      </c>
      <c r="H137">
        <v>2</v>
      </c>
      <c r="I137" t="str">
        <f t="shared" si="5"/>
        <v>63072025082300435304</v>
      </c>
      <c r="J137" t="str">
        <f>VLOOKUP(A137,Comuna_empresa!B:E,4,0)</f>
        <v>San Esteban</v>
      </c>
    </row>
    <row r="138" spans="1:10">
      <c r="A138">
        <v>5304</v>
      </c>
      <c r="B138" s="7" t="s">
        <v>120</v>
      </c>
      <c r="C138">
        <v>1</v>
      </c>
      <c r="D138">
        <v>125081851</v>
      </c>
      <c r="E138" s="8">
        <v>45870</v>
      </c>
      <c r="F138" s="8">
        <v>45895.533333333333</v>
      </c>
      <c r="G138">
        <v>1</v>
      </c>
      <c r="H138">
        <v>2</v>
      </c>
      <c r="I138" t="str">
        <f t="shared" si="5"/>
        <v>63072025082300945304</v>
      </c>
      <c r="J138" t="str">
        <f>VLOOKUP(A138,Comuna_empresa!B:E,4,0)</f>
        <v>San Esteban</v>
      </c>
    </row>
    <row r="139" spans="1:10">
      <c r="A139">
        <v>5304</v>
      </c>
      <c r="B139" s="7" t="s">
        <v>121</v>
      </c>
      <c r="C139">
        <v>1</v>
      </c>
      <c r="D139">
        <v>125081852</v>
      </c>
      <c r="E139" s="8">
        <v>45870</v>
      </c>
      <c r="F139" s="8">
        <v>45895.533333333333</v>
      </c>
      <c r="G139">
        <v>1</v>
      </c>
      <c r="H139">
        <v>2</v>
      </c>
      <c r="I139" t="str">
        <f t="shared" ref="I139:I202" si="6">"6307"&amp;MID(B139,7,18)&amp;A139</f>
        <v>63072025082301065304</v>
      </c>
      <c r="J139" t="str">
        <f>VLOOKUP(A139,Comuna_empresa!B:E,4,0)</f>
        <v>San Esteban</v>
      </c>
    </row>
    <row r="140" spans="1:10">
      <c r="A140">
        <v>5304</v>
      </c>
      <c r="B140" s="7" t="s">
        <v>122</v>
      </c>
      <c r="C140">
        <v>1</v>
      </c>
      <c r="D140">
        <v>125081853</v>
      </c>
      <c r="E140" s="8">
        <v>45870</v>
      </c>
      <c r="F140" s="8">
        <v>45895.533333333333</v>
      </c>
      <c r="G140">
        <v>1</v>
      </c>
      <c r="H140">
        <v>2</v>
      </c>
      <c r="I140" t="str">
        <f t="shared" si="6"/>
        <v>63072025082301185304</v>
      </c>
      <c r="J140" t="str">
        <f>VLOOKUP(A140,Comuna_empresa!B:E,4,0)</f>
        <v>San Esteban</v>
      </c>
    </row>
    <row r="141" spans="1:10">
      <c r="A141">
        <v>5303</v>
      </c>
      <c r="B141" s="7" t="s">
        <v>123</v>
      </c>
      <c r="C141">
        <v>1</v>
      </c>
      <c r="D141">
        <v>125081790</v>
      </c>
      <c r="E141" s="8">
        <v>45870</v>
      </c>
      <c r="F141" s="8">
        <v>45894.880555555559</v>
      </c>
      <c r="G141">
        <v>1</v>
      </c>
      <c r="H141">
        <v>2</v>
      </c>
      <c r="I141" t="str">
        <f t="shared" si="6"/>
        <v>63072025082301255303</v>
      </c>
      <c r="J141" t="str">
        <f>VLOOKUP(A141,Comuna_empresa!B:E,4,0)</f>
        <v>Rinconada</v>
      </c>
    </row>
    <row r="142" spans="1:10">
      <c r="A142">
        <v>5304</v>
      </c>
      <c r="B142" s="7" t="s">
        <v>124</v>
      </c>
      <c r="C142">
        <v>1</v>
      </c>
      <c r="D142">
        <v>125081854</v>
      </c>
      <c r="E142" s="8">
        <v>45870</v>
      </c>
      <c r="F142" s="8">
        <v>45895.533333333333</v>
      </c>
      <c r="G142">
        <v>1</v>
      </c>
      <c r="H142">
        <v>2</v>
      </c>
      <c r="I142" t="str">
        <f t="shared" si="6"/>
        <v>63072025082400105304</v>
      </c>
      <c r="J142" t="str">
        <f>VLOOKUP(A142,Comuna_empresa!B:E,4,0)</f>
        <v>San Esteban</v>
      </c>
    </row>
    <row r="143" spans="1:10">
      <c r="A143">
        <v>5304</v>
      </c>
      <c r="B143" s="7" t="s">
        <v>125</v>
      </c>
      <c r="C143">
        <v>1</v>
      </c>
      <c r="D143">
        <v>125081855</v>
      </c>
      <c r="E143" s="8">
        <v>45870</v>
      </c>
      <c r="F143" s="8">
        <v>45895.533333333333</v>
      </c>
      <c r="G143">
        <v>1</v>
      </c>
      <c r="H143">
        <v>2</v>
      </c>
      <c r="I143" t="str">
        <f t="shared" si="6"/>
        <v>63072025082400335304</v>
      </c>
      <c r="J143" t="str">
        <f>VLOOKUP(A143,Comuna_empresa!B:E,4,0)</f>
        <v>San Esteban</v>
      </c>
    </row>
    <row r="144" spans="1:10">
      <c r="A144">
        <v>5304</v>
      </c>
      <c r="B144" s="7" t="s">
        <v>126</v>
      </c>
      <c r="C144">
        <v>1</v>
      </c>
      <c r="D144">
        <v>125081856</v>
      </c>
      <c r="E144" s="8">
        <v>45870</v>
      </c>
      <c r="F144" s="8">
        <v>45895.533333333333</v>
      </c>
      <c r="G144">
        <v>1</v>
      </c>
      <c r="H144">
        <v>2</v>
      </c>
      <c r="I144" t="str">
        <f t="shared" si="6"/>
        <v>63072025082400385304</v>
      </c>
      <c r="J144" t="str">
        <f>VLOOKUP(A144,Comuna_empresa!B:E,4,0)</f>
        <v>San Esteban</v>
      </c>
    </row>
    <row r="145" spans="1:10">
      <c r="A145">
        <v>5303</v>
      </c>
      <c r="B145" s="7" t="s">
        <v>127</v>
      </c>
      <c r="C145">
        <v>1</v>
      </c>
      <c r="D145">
        <v>125081791</v>
      </c>
      <c r="E145" s="8">
        <v>45870</v>
      </c>
      <c r="F145" s="8">
        <v>45894.880555555559</v>
      </c>
      <c r="G145">
        <v>1</v>
      </c>
      <c r="H145">
        <v>2</v>
      </c>
      <c r="I145" t="str">
        <f t="shared" si="6"/>
        <v>63072025082400665303</v>
      </c>
      <c r="J145" t="str">
        <f>VLOOKUP(A145,Comuna_empresa!B:E,4,0)</f>
        <v>Rinconada</v>
      </c>
    </row>
    <row r="146" spans="1:10">
      <c r="A146">
        <v>5303</v>
      </c>
      <c r="B146" s="7" t="s">
        <v>128</v>
      </c>
      <c r="C146">
        <v>1</v>
      </c>
      <c r="D146">
        <v>125081792</v>
      </c>
      <c r="E146" s="8">
        <v>45870</v>
      </c>
      <c r="F146" s="8">
        <v>45894.880555555559</v>
      </c>
      <c r="G146">
        <v>1</v>
      </c>
      <c r="H146">
        <v>2</v>
      </c>
      <c r="I146" t="str">
        <f t="shared" si="6"/>
        <v>63072025082500315303</v>
      </c>
      <c r="J146" t="str">
        <f>VLOOKUP(A146,Comuna_empresa!B:E,4,0)</f>
        <v>Rinconada</v>
      </c>
    </row>
    <row r="147" spans="1:10">
      <c r="A147">
        <v>5304</v>
      </c>
      <c r="B147" s="7" t="s">
        <v>129</v>
      </c>
      <c r="C147">
        <v>1</v>
      </c>
      <c r="D147">
        <v>125081857</v>
      </c>
      <c r="E147" s="8">
        <v>45870</v>
      </c>
      <c r="F147" s="8">
        <v>45895.533333333333</v>
      </c>
      <c r="G147">
        <v>1</v>
      </c>
      <c r="H147">
        <v>2</v>
      </c>
      <c r="I147" t="str">
        <f t="shared" si="6"/>
        <v>63072025082600165304</v>
      </c>
      <c r="J147" t="str">
        <f>VLOOKUP(A147,Comuna_empresa!B:E,4,0)</f>
        <v>San Esteban</v>
      </c>
    </row>
    <row r="148" spans="1:10">
      <c r="A148">
        <v>5303</v>
      </c>
      <c r="B148" s="7" t="s">
        <v>130</v>
      </c>
      <c r="C148">
        <v>1</v>
      </c>
      <c r="D148">
        <v>125121366</v>
      </c>
      <c r="E148" s="8">
        <v>45992</v>
      </c>
      <c r="F148" s="8">
        <v>45998.786111111112</v>
      </c>
      <c r="G148">
        <v>1</v>
      </c>
      <c r="H148">
        <v>2</v>
      </c>
      <c r="I148" t="str">
        <f t="shared" si="6"/>
        <v>63072025120400625303</v>
      </c>
      <c r="J148" t="str">
        <f>VLOOKUP(A148,Comuna_empresa!B:E,4,0)</f>
        <v>Rinconada</v>
      </c>
    </row>
    <row r="149" spans="1:10">
      <c r="A149">
        <v>5303</v>
      </c>
      <c r="B149" s="7" t="s">
        <v>131</v>
      </c>
      <c r="C149">
        <v>1</v>
      </c>
      <c r="D149">
        <v>125121367</v>
      </c>
      <c r="E149" s="8">
        <v>45992</v>
      </c>
      <c r="F149" s="8">
        <v>45998.786111111112</v>
      </c>
      <c r="G149">
        <v>4</v>
      </c>
      <c r="H149">
        <v>2</v>
      </c>
      <c r="I149" t="str">
        <f t="shared" si="6"/>
        <v>63072025120400675303</v>
      </c>
      <c r="J149" t="str">
        <f>VLOOKUP(A149,Comuna_empresa!B:E,4,0)</f>
        <v>Rinconada</v>
      </c>
    </row>
    <row r="150" spans="1:10">
      <c r="A150">
        <v>5303</v>
      </c>
      <c r="B150" s="7" t="s">
        <v>132</v>
      </c>
      <c r="C150">
        <v>1</v>
      </c>
      <c r="D150">
        <v>125121368</v>
      </c>
      <c r="E150" s="8">
        <v>45992</v>
      </c>
      <c r="F150" s="8">
        <v>45998.786111111112</v>
      </c>
      <c r="G150">
        <v>1</v>
      </c>
      <c r="H150">
        <v>2</v>
      </c>
      <c r="I150" t="str">
        <f t="shared" si="6"/>
        <v>63072025120400715303</v>
      </c>
      <c r="J150" t="str">
        <f>VLOOKUP(A150,Comuna_empresa!B:E,4,0)</f>
        <v>Rinconada</v>
      </c>
    </row>
    <row r="151" spans="1:10">
      <c r="A151">
        <v>5303</v>
      </c>
      <c r="B151" s="7" t="s">
        <v>132</v>
      </c>
      <c r="C151">
        <v>2</v>
      </c>
      <c r="D151">
        <v>125121369</v>
      </c>
      <c r="E151" s="8">
        <v>45992</v>
      </c>
      <c r="F151" s="8">
        <v>45998.786111111112</v>
      </c>
      <c r="G151">
        <v>1</v>
      </c>
      <c r="H151">
        <v>2</v>
      </c>
      <c r="I151" t="str">
        <f t="shared" si="6"/>
        <v>63072025120400715303</v>
      </c>
      <c r="J151" t="str">
        <f>VLOOKUP(A151,Comuna_empresa!B:E,4,0)</f>
        <v>Rinconada</v>
      </c>
    </row>
    <row r="152" spans="1:10">
      <c r="A152">
        <v>5303</v>
      </c>
      <c r="B152" s="7" t="s">
        <v>133</v>
      </c>
      <c r="C152">
        <v>1</v>
      </c>
      <c r="D152">
        <v>125121370</v>
      </c>
      <c r="E152" s="8">
        <v>45992</v>
      </c>
      <c r="F152" s="8">
        <v>45998.786111111112</v>
      </c>
      <c r="G152">
        <v>1</v>
      </c>
      <c r="H152">
        <v>2</v>
      </c>
      <c r="I152" t="str">
        <f t="shared" si="6"/>
        <v>63072025120500265303</v>
      </c>
      <c r="J152" t="str">
        <f>VLOOKUP(A152,Comuna_empresa!B:E,4,0)</f>
        <v>Rinconada</v>
      </c>
    </row>
    <row r="153" spans="1:10">
      <c r="A153">
        <v>5302</v>
      </c>
      <c r="B153" s="7" t="s">
        <v>134</v>
      </c>
      <c r="C153">
        <v>1</v>
      </c>
      <c r="D153">
        <v>125121312</v>
      </c>
      <c r="E153" s="8">
        <v>45992</v>
      </c>
      <c r="F153" s="8">
        <v>46000.337500000001</v>
      </c>
      <c r="G153">
        <v>4</v>
      </c>
      <c r="H153">
        <v>2</v>
      </c>
      <c r="I153" t="str">
        <f t="shared" si="6"/>
        <v>63072025120600495302</v>
      </c>
      <c r="J153" t="str">
        <f>VLOOKUP(A153,Comuna_empresa!B:E,4,0)</f>
        <v>Calle Larga</v>
      </c>
    </row>
    <row r="154" spans="1:10">
      <c r="A154">
        <v>5303</v>
      </c>
      <c r="B154" s="7" t="s">
        <v>134</v>
      </c>
      <c r="C154">
        <v>1</v>
      </c>
      <c r="D154">
        <v>125121371</v>
      </c>
      <c r="E154" s="8">
        <v>45992</v>
      </c>
      <c r="F154" s="8">
        <v>45998.786111111112</v>
      </c>
      <c r="G154">
        <v>4</v>
      </c>
      <c r="H154">
        <v>2</v>
      </c>
      <c r="I154" t="str">
        <f t="shared" si="6"/>
        <v>63072025120600495303</v>
      </c>
      <c r="J154" t="str">
        <f>VLOOKUP(A154,Comuna_empresa!B:E,4,0)</f>
        <v>Rinconada</v>
      </c>
    </row>
    <row r="155" spans="1:10">
      <c r="A155">
        <v>5304</v>
      </c>
      <c r="B155" s="7" t="s">
        <v>135</v>
      </c>
      <c r="C155">
        <v>1</v>
      </c>
      <c r="D155">
        <v>125121416</v>
      </c>
      <c r="E155" s="8">
        <v>45992</v>
      </c>
      <c r="F155" s="8">
        <v>46000.845833333333</v>
      </c>
      <c r="G155">
        <v>4</v>
      </c>
      <c r="H155">
        <v>2</v>
      </c>
      <c r="I155" t="str">
        <f t="shared" si="6"/>
        <v>63072025120600615304</v>
      </c>
      <c r="J155" t="str">
        <f>VLOOKUP(A155,Comuna_empresa!B:E,4,0)</f>
        <v>San Esteban</v>
      </c>
    </row>
    <row r="156" spans="1:10">
      <c r="A156">
        <v>5304</v>
      </c>
      <c r="B156" s="7" t="s">
        <v>135</v>
      </c>
      <c r="C156">
        <v>2</v>
      </c>
      <c r="D156">
        <v>125121417</v>
      </c>
      <c r="E156" s="8">
        <v>45992</v>
      </c>
      <c r="F156" s="8">
        <v>46000.845833333333</v>
      </c>
      <c r="G156">
        <v>4</v>
      </c>
      <c r="H156">
        <v>2</v>
      </c>
      <c r="I156" t="str">
        <f t="shared" si="6"/>
        <v>63072025120600615304</v>
      </c>
      <c r="J156" t="str">
        <f>VLOOKUP(A156,Comuna_empresa!B:E,4,0)</f>
        <v>San Esteban</v>
      </c>
    </row>
    <row r="157" spans="1:10">
      <c r="A157">
        <v>5304</v>
      </c>
      <c r="B157" s="7" t="s">
        <v>135</v>
      </c>
      <c r="C157">
        <v>3</v>
      </c>
      <c r="D157">
        <v>125121418</v>
      </c>
      <c r="E157" s="8">
        <v>45992</v>
      </c>
      <c r="F157" s="8">
        <v>46000.845833333333</v>
      </c>
      <c r="G157">
        <v>4</v>
      </c>
      <c r="H157">
        <v>2</v>
      </c>
      <c r="I157" t="str">
        <f t="shared" si="6"/>
        <v>63072025120600615304</v>
      </c>
      <c r="J157" t="str">
        <f>VLOOKUP(A157,Comuna_empresa!B:E,4,0)</f>
        <v>San Esteban</v>
      </c>
    </row>
    <row r="158" spans="1:10">
      <c r="A158">
        <v>5304</v>
      </c>
      <c r="B158" s="7" t="s">
        <v>136</v>
      </c>
      <c r="C158">
        <v>1</v>
      </c>
      <c r="D158">
        <v>125121419</v>
      </c>
      <c r="E158" s="8">
        <v>45992</v>
      </c>
      <c r="F158" s="8">
        <v>46000.845833333333</v>
      </c>
      <c r="G158">
        <v>4</v>
      </c>
      <c r="H158">
        <v>2</v>
      </c>
      <c r="I158" t="str">
        <f t="shared" si="6"/>
        <v>63072025120600645304</v>
      </c>
      <c r="J158" t="str">
        <f>VLOOKUP(A158,Comuna_empresa!B:E,4,0)</f>
        <v>San Esteban</v>
      </c>
    </row>
    <row r="159" spans="1:10">
      <c r="A159">
        <v>5304</v>
      </c>
      <c r="B159" s="7" t="s">
        <v>137</v>
      </c>
      <c r="C159">
        <v>1</v>
      </c>
      <c r="D159">
        <v>125121420</v>
      </c>
      <c r="E159" s="8">
        <v>45992</v>
      </c>
      <c r="F159" s="8">
        <v>46000.845833333333</v>
      </c>
      <c r="G159">
        <v>1</v>
      </c>
      <c r="H159">
        <v>2</v>
      </c>
      <c r="I159" t="str">
        <f t="shared" si="6"/>
        <v>63072025120600655304</v>
      </c>
      <c r="J159" t="str">
        <f>VLOOKUP(A159,Comuna_empresa!B:E,4,0)</f>
        <v>San Esteban</v>
      </c>
    </row>
    <row r="160" spans="1:10">
      <c r="A160">
        <v>5304</v>
      </c>
      <c r="B160" s="7" t="s">
        <v>138</v>
      </c>
      <c r="C160">
        <v>1</v>
      </c>
      <c r="D160">
        <v>125121421</v>
      </c>
      <c r="E160" s="8">
        <v>45992</v>
      </c>
      <c r="F160" s="8">
        <v>46000.845833333333</v>
      </c>
      <c r="G160">
        <v>4</v>
      </c>
      <c r="H160">
        <v>2</v>
      </c>
      <c r="I160" t="str">
        <f t="shared" si="6"/>
        <v>63072025120601005304</v>
      </c>
      <c r="J160" t="str">
        <f>VLOOKUP(A160,Comuna_empresa!B:E,4,0)</f>
        <v>San Esteban</v>
      </c>
    </row>
    <row r="161" spans="1:10">
      <c r="A161">
        <v>5304</v>
      </c>
      <c r="B161" s="7" t="s">
        <v>139</v>
      </c>
      <c r="C161">
        <v>1</v>
      </c>
      <c r="D161">
        <v>125121422</v>
      </c>
      <c r="E161" s="8">
        <v>45992</v>
      </c>
      <c r="F161" s="8">
        <v>46000.845833333333</v>
      </c>
      <c r="G161">
        <v>4</v>
      </c>
      <c r="H161">
        <v>2</v>
      </c>
      <c r="I161" t="str">
        <f t="shared" si="6"/>
        <v>63072025120601035304</v>
      </c>
      <c r="J161" t="str">
        <f>VLOOKUP(A161,Comuna_empresa!B:E,4,0)</f>
        <v>San Esteban</v>
      </c>
    </row>
    <row r="162" spans="1:10">
      <c r="A162">
        <v>5302</v>
      </c>
      <c r="B162" s="7" t="s">
        <v>140</v>
      </c>
      <c r="C162">
        <v>1</v>
      </c>
      <c r="D162">
        <v>125121313</v>
      </c>
      <c r="E162" s="8">
        <v>45992</v>
      </c>
      <c r="F162" s="8">
        <v>46000.337500000001</v>
      </c>
      <c r="G162">
        <v>4</v>
      </c>
      <c r="H162">
        <v>2</v>
      </c>
      <c r="I162" t="str">
        <f t="shared" si="6"/>
        <v>63072025120601045302</v>
      </c>
      <c r="J162" t="str">
        <f>VLOOKUP(A162,Comuna_empresa!B:E,4,0)</f>
        <v>Calle Larga</v>
      </c>
    </row>
    <row r="163" spans="1:10">
      <c r="A163">
        <v>5302</v>
      </c>
      <c r="B163" s="7" t="s">
        <v>140</v>
      </c>
      <c r="C163">
        <v>2</v>
      </c>
      <c r="D163">
        <v>125121314</v>
      </c>
      <c r="E163" s="8">
        <v>45992</v>
      </c>
      <c r="F163" s="8">
        <v>46000.337500000001</v>
      </c>
      <c r="G163">
        <v>4</v>
      </c>
      <c r="H163">
        <v>2</v>
      </c>
      <c r="I163" t="str">
        <f t="shared" si="6"/>
        <v>63072025120601045302</v>
      </c>
      <c r="J163" t="str">
        <f>VLOOKUP(A163,Comuna_empresa!B:E,4,0)</f>
        <v>Calle Larga</v>
      </c>
    </row>
    <row r="164" spans="1:10">
      <c r="A164">
        <v>5302</v>
      </c>
      <c r="B164" s="7" t="s">
        <v>141</v>
      </c>
      <c r="C164">
        <v>1</v>
      </c>
      <c r="D164">
        <v>125121315</v>
      </c>
      <c r="E164" s="8">
        <v>45992</v>
      </c>
      <c r="F164" s="8">
        <v>46000.337500000001</v>
      </c>
      <c r="G164">
        <v>4</v>
      </c>
      <c r="H164">
        <v>2</v>
      </c>
      <c r="I164" t="str">
        <f t="shared" si="6"/>
        <v>63072025120601085302</v>
      </c>
      <c r="J164" t="str">
        <f>VLOOKUP(A164,Comuna_empresa!B:E,4,0)</f>
        <v>Calle Larga</v>
      </c>
    </row>
    <row r="165" spans="1:10">
      <c r="A165">
        <v>5302</v>
      </c>
      <c r="B165" s="7" t="s">
        <v>141</v>
      </c>
      <c r="C165">
        <v>2</v>
      </c>
      <c r="D165">
        <v>125121316</v>
      </c>
      <c r="E165" s="8">
        <v>45992</v>
      </c>
      <c r="F165" s="8">
        <v>46000.337500000001</v>
      </c>
      <c r="G165">
        <v>4</v>
      </c>
      <c r="H165">
        <v>2</v>
      </c>
      <c r="I165" t="str">
        <f t="shared" si="6"/>
        <v>63072025120601085302</v>
      </c>
      <c r="J165" t="str">
        <f>VLOOKUP(A165,Comuna_empresa!B:E,4,0)</f>
        <v>Calle Larga</v>
      </c>
    </row>
    <row r="166" spans="1:10">
      <c r="A166">
        <v>5303</v>
      </c>
      <c r="B166" s="7" t="s">
        <v>141</v>
      </c>
      <c r="C166">
        <v>1</v>
      </c>
      <c r="D166">
        <v>125121372</v>
      </c>
      <c r="E166" s="8">
        <v>45992</v>
      </c>
      <c r="F166" s="8">
        <v>45998.786111111112</v>
      </c>
      <c r="G166">
        <v>4</v>
      </c>
      <c r="H166">
        <v>2</v>
      </c>
      <c r="I166" t="str">
        <f t="shared" si="6"/>
        <v>63072025120601085303</v>
      </c>
      <c r="J166" t="str">
        <f>VLOOKUP(A166,Comuna_empresa!B:E,4,0)</f>
        <v>Rinconada</v>
      </c>
    </row>
    <row r="167" spans="1:10">
      <c r="A167">
        <v>5302</v>
      </c>
      <c r="B167" s="7" t="s">
        <v>142</v>
      </c>
      <c r="C167">
        <v>1</v>
      </c>
      <c r="D167">
        <v>125121317</v>
      </c>
      <c r="E167" s="8">
        <v>45992</v>
      </c>
      <c r="F167" s="8">
        <v>46000.337500000001</v>
      </c>
      <c r="G167">
        <v>8</v>
      </c>
      <c r="H167">
        <v>2</v>
      </c>
      <c r="I167" t="str">
        <f t="shared" si="6"/>
        <v>63072025120700015302</v>
      </c>
      <c r="J167" t="str">
        <f>VLOOKUP(A167,Comuna_empresa!B:E,4,0)</f>
        <v>Calle Larga</v>
      </c>
    </row>
    <row r="168" spans="1:10">
      <c r="A168">
        <v>5302</v>
      </c>
      <c r="B168" s="7" t="s">
        <v>143</v>
      </c>
      <c r="C168">
        <v>1</v>
      </c>
      <c r="D168">
        <v>125121318</v>
      </c>
      <c r="E168" s="8">
        <v>45992</v>
      </c>
      <c r="F168" s="8">
        <v>46000.337500000001</v>
      </c>
      <c r="G168">
        <v>4</v>
      </c>
      <c r="H168">
        <v>2</v>
      </c>
      <c r="I168" t="str">
        <f t="shared" si="6"/>
        <v>63072025120700365302</v>
      </c>
      <c r="J168" t="str">
        <f>VLOOKUP(A168,Comuna_empresa!B:E,4,0)</f>
        <v>Calle Larga</v>
      </c>
    </row>
    <row r="169" spans="1:10">
      <c r="A169">
        <v>5303</v>
      </c>
      <c r="B169" s="7" t="s">
        <v>143</v>
      </c>
      <c r="C169">
        <v>1</v>
      </c>
      <c r="D169">
        <v>125121373</v>
      </c>
      <c r="E169" s="8">
        <v>45992</v>
      </c>
      <c r="F169" s="8">
        <v>45998.786111111112</v>
      </c>
      <c r="G169">
        <v>4</v>
      </c>
      <c r="H169">
        <v>2</v>
      </c>
      <c r="I169" t="str">
        <f t="shared" si="6"/>
        <v>63072025120700365303</v>
      </c>
      <c r="J169" t="str">
        <f>VLOOKUP(A169,Comuna_empresa!B:E,4,0)</f>
        <v>Rinconada</v>
      </c>
    </row>
    <row r="170" spans="1:10">
      <c r="A170">
        <v>5304</v>
      </c>
      <c r="B170" s="7" t="s">
        <v>144</v>
      </c>
      <c r="C170">
        <v>1</v>
      </c>
      <c r="D170">
        <v>125121423</v>
      </c>
      <c r="E170" s="8">
        <v>45992</v>
      </c>
      <c r="F170" s="8">
        <v>46000.845833333333</v>
      </c>
      <c r="G170">
        <v>4</v>
      </c>
      <c r="H170">
        <v>2</v>
      </c>
      <c r="I170" t="str">
        <f t="shared" si="6"/>
        <v>63072025120700385304</v>
      </c>
      <c r="J170" t="str">
        <f>VLOOKUP(A170,Comuna_empresa!B:E,4,0)</f>
        <v>San Esteban</v>
      </c>
    </row>
    <row r="171" spans="1:10">
      <c r="A171">
        <v>5304</v>
      </c>
      <c r="B171" s="7" t="s">
        <v>145</v>
      </c>
      <c r="C171">
        <v>1</v>
      </c>
      <c r="D171">
        <v>125121424</v>
      </c>
      <c r="E171" s="8">
        <v>45992</v>
      </c>
      <c r="F171" s="8">
        <v>46000.845833333333</v>
      </c>
      <c r="G171">
        <v>4</v>
      </c>
      <c r="H171">
        <v>2</v>
      </c>
      <c r="I171" t="str">
        <f t="shared" si="6"/>
        <v>63072025120700475304</v>
      </c>
      <c r="J171" t="str">
        <f>VLOOKUP(A171,Comuna_empresa!B:E,4,0)</f>
        <v>San Esteban</v>
      </c>
    </row>
    <row r="172" spans="1:10">
      <c r="A172">
        <v>5304</v>
      </c>
      <c r="B172" s="7" t="s">
        <v>146</v>
      </c>
      <c r="C172">
        <v>1</v>
      </c>
      <c r="D172">
        <v>125121425</v>
      </c>
      <c r="E172" s="8">
        <v>45992</v>
      </c>
      <c r="F172" s="8">
        <v>46000.845833333333</v>
      </c>
      <c r="G172">
        <v>4</v>
      </c>
      <c r="H172">
        <v>2</v>
      </c>
      <c r="I172" t="str">
        <f t="shared" si="6"/>
        <v>63072025120700635304</v>
      </c>
      <c r="J172" t="str">
        <f>VLOOKUP(A172,Comuna_empresa!B:E,4,0)</f>
        <v>San Esteban</v>
      </c>
    </row>
    <row r="173" spans="1:10">
      <c r="A173">
        <v>5304</v>
      </c>
      <c r="B173" s="7" t="s">
        <v>146</v>
      </c>
      <c r="C173">
        <v>2</v>
      </c>
      <c r="D173">
        <v>125121426</v>
      </c>
      <c r="E173" s="8">
        <v>45992</v>
      </c>
      <c r="F173" s="8">
        <v>46000.845833333333</v>
      </c>
      <c r="G173">
        <v>4</v>
      </c>
      <c r="H173">
        <v>2</v>
      </c>
      <c r="I173" t="str">
        <f t="shared" si="6"/>
        <v>63072025120700635304</v>
      </c>
      <c r="J173" t="str">
        <f>VLOOKUP(A173,Comuna_empresa!B:E,4,0)</f>
        <v>San Esteban</v>
      </c>
    </row>
    <row r="174" spans="1:10">
      <c r="A174">
        <v>5304</v>
      </c>
      <c r="B174" s="7" t="s">
        <v>147</v>
      </c>
      <c r="C174">
        <v>1</v>
      </c>
      <c r="D174">
        <v>125121427</v>
      </c>
      <c r="E174" s="8">
        <v>45992</v>
      </c>
      <c r="F174" s="8">
        <v>46000.845833333333</v>
      </c>
      <c r="G174">
        <v>4</v>
      </c>
      <c r="H174">
        <v>2</v>
      </c>
      <c r="I174" t="str">
        <f t="shared" si="6"/>
        <v>63072025120700645304</v>
      </c>
      <c r="J174" t="str">
        <f>VLOOKUP(A174,Comuna_empresa!B:E,4,0)</f>
        <v>San Esteban</v>
      </c>
    </row>
    <row r="175" spans="1:10">
      <c r="A175">
        <v>5304</v>
      </c>
      <c r="B175" s="7" t="s">
        <v>148</v>
      </c>
      <c r="C175">
        <v>1</v>
      </c>
      <c r="D175">
        <v>125121428</v>
      </c>
      <c r="E175" s="8">
        <v>45992</v>
      </c>
      <c r="F175" s="8">
        <v>46000.845833333333</v>
      </c>
      <c r="G175">
        <v>1</v>
      </c>
      <c r="H175">
        <v>2</v>
      </c>
      <c r="I175" t="str">
        <f t="shared" si="6"/>
        <v>63072025120700705304</v>
      </c>
      <c r="J175" t="str">
        <f>VLOOKUP(A175,Comuna_empresa!B:E,4,0)</f>
        <v>San Esteban</v>
      </c>
    </row>
    <row r="176" spans="1:10">
      <c r="A176">
        <v>5302</v>
      </c>
      <c r="B176" s="7" t="s">
        <v>149</v>
      </c>
      <c r="C176">
        <v>1</v>
      </c>
      <c r="D176">
        <v>125121319</v>
      </c>
      <c r="E176" s="8">
        <v>45992</v>
      </c>
      <c r="F176" s="8">
        <v>46000.337500000001</v>
      </c>
      <c r="G176">
        <v>1</v>
      </c>
      <c r="H176">
        <v>2</v>
      </c>
      <c r="I176" t="str">
        <f t="shared" si="6"/>
        <v>63072025120700795302</v>
      </c>
      <c r="J176" t="str">
        <f>VLOOKUP(A176,Comuna_empresa!B:E,4,0)</f>
        <v>Calle Larga</v>
      </c>
    </row>
    <row r="177" spans="1:10">
      <c r="A177">
        <v>5304</v>
      </c>
      <c r="B177" s="7" t="s">
        <v>150</v>
      </c>
      <c r="C177">
        <v>1</v>
      </c>
      <c r="D177">
        <v>125121429</v>
      </c>
      <c r="E177" s="8">
        <v>45992</v>
      </c>
      <c r="F177" s="8">
        <v>46000.845833333333</v>
      </c>
      <c r="G177">
        <v>4</v>
      </c>
      <c r="H177">
        <v>2</v>
      </c>
      <c r="I177" t="str">
        <f t="shared" si="6"/>
        <v>63072025120700805304</v>
      </c>
      <c r="J177" t="str">
        <f>VLOOKUP(A177,Comuna_empresa!B:E,4,0)</f>
        <v>San Esteban</v>
      </c>
    </row>
    <row r="178" spans="1:10">
      <c r="A178">
        <v>5304</v>
      </c>
      <c r="B178" s="7" t="s">
        <v>151</v>
      </c>
      <c r="C178">
        <v>1</v>
      </c>
      <c r="D178">
        <v>125121430</v>
      </c>
      <c r="E178" s="8">
        <v>45992</v>
      </c>
      <c r="F178" s="8">
        <v>46000.845833333333</v>
      </c>
      <c r="G178">
        <v>1</v>
      </c>
      <c r="H178">
        <v>2</v>
      </c>
      <c r="I178" t="str">
        <f t="shared" si="6"/>
        <v>63072025120700815304</v>
      </c>
      <c r="J178" t="str">
        <f>VLOOKUP(A178,Comuna_empresa!B:E,4,0)</f>
        <v>San Esteban</v>
      </c>
    </row>
    <row r="179" spans="1:10">
      <c r="A179">
        <v>5302</v>
      </c>
      <c r="B179" s="7" t="s">
        <v>152</v>
      </c>
      <c r="C179">
        <v>1</v>
      </c>
      <c r="D179">
        <v>125121320</v>
      </c>
      <c r="E179" s="8">
        <v>45992</v>
      </c>
      <c r="F179" s="8">
        <v>46000.337500000001</v>
      </c>
      <c r="G179">
        <v>4</v>
      </c>
      <c r="H179">
        <v>2</v>
      </c>
      <c r="I179" t="str">
        <f t="shared" si="6"/>
        <v>63072025120700845302</v>
      </c>
      <c r="J179" t="str">
        <f>VLOOKUP(A179,Comuna_empresa!B:E,4,0)</f>
        <v>Calle Larga</v>
      </c>
    </row>
    <row r="180" spans="1:10">
      <c r="A180">
        <v>5302</v>
      </c>
      <c r="B180" s="7" t="s">
        <v>153</v>
      </c>
      <c r="C180">
        <v>1</v>
      </c>
      <c r="D180">
        <v>125121321</v>
      </c>
      <c r="E180" s="8">
        <v>45992</v>
      </c>
      <c r="F180" s="8">
        <v>46000.337500000001</v>
      </c>
      <c r="G180">
        <v>1</v>
      </c>
      <c r="H180">
        <v>2</v>
      </c>
      <c r="I180" t="str">
        <f t="shared" si="6"/>
        <v>63072025120700875302</v>
      </c>
      <c r="J180" t="str">
        <f>VLOOKUP(A180,Comuna_empresa!B:E,4,0)</f>
        <v>Calle Larga</v>
      </c>
    </row>
    <row r="181" spans="1:10">
      <c r="A181">
        <v>5304</v>
      </c>
      <c r="B181" s="7" t="s">
        <v>154</v>
      </c>
      <c r="C181">
        <v>1</v>
      </c>
      <c r="D181">
        <v>125121431</v>
      </c>
      <c r="E181" s="8">
        <v>45992</v>
      </c>
      <c r="F181" s="8">
        <v>46000.845833333333</v>
      </c>
      <c r="G181">
        <v>1</v>
      </c>
      <c r="H181">
        <v>2</v>
      </c>
      <c r="I181" t="str">
        <f t="shared" si="6"/>
        <v>63072025120700905304</v>
      </c>
      <c r="J181" t="str">
        <f>VLOOKUP(A181,Comuna_empresa!B:E,4,0)</f>
        <v>San Esteban</v>
      </c>
    </row>
    <row r="182" spans="1:10">
      <c r="A182">
        <v>5304</v>
      </c>
      <c r="B182" s="7" t="s">
        <v>155</v>
      </c>
      <c r="C182">
        <v>1</v>
      </c>
      <c r="D182">
        <v>125121432</v>
      </c>
      <c r="E182" s="8">
        <v>45992</v>
      </c>
      <c r="F182" s="8">
        <v>46000.845833333333</v>
      </c>
      <c r="G182">
        <v>1</v>
      </c>
      <c r="H182">
        <v>2</v>
      </c>
      <c r="I182" t="str">
        <f t="shared" si="6"/>
        <v>63072025120800105304</v>
      </c>
      <c r="J182" t="str">
        <f>VLOOKUP(A182,Comuna_empresa!B:E,4,0)</f>
        <v>San Esteban</v>
      </c>
    </row>
    <row r="183" spans="1:10">
      <c r="A183">
        <v>5304</v>
      </c>
      <c r="B183" s="7" t="s">
        <v>156</v>
      </c>
      <c r="C183">
        <v>1</v>
      </c>
      <c r="D183">
        <v>125121433</v>
      </c>
      <c r="E183" s="8">
        <v>45992</v>
      </c>
      <c r="F183" s="8">
        <v>46000.845833333333</v>
      </c>
      <c r="G183">
        <v>1</v>
      </c>
      <c r="H183">
        <v>2</v>
      </c>
      <c r="I183" t="str">
        <f t="shared" si="6"/>
        <v>63072025120800215304</v>
      </c>
      <c r="J183" t="str">
        <f>VLOOKUP(A183,Comuna_empresa!B:E,4,0)</f>
        <v>San Esteban</v>
      </c>
    </row>
    <row r="184" spans="1:10">
      <c r="A184">
        <v>5304</v>
      </c>
      <c r="B184" s="7" t="s">
        <v>157</v>
      </c>
      <c r="C184">
        <v>1</v>
      </c>
      <c r="D184">
        <v>125121434</v>
      </c>
      <c r="E184" s="8">
        <v>45992</v>
      </c>
      <c r="F184" s="8">
        <v>46000.845833333333</v>
      </c>
      <c r="G184">
        <v>1</v>
      </c>
      <c r="H184">
        <v>2</v>
      </c>
      <c r="I184" t="str">
        <f t="shared" si="6"/>
        <v>63072025120800275304</v>
      </c>
      <c r="J184" t="str">
        <f>VLOOKUP(A184,Comuna_empresa!B:E,4,0)</f>
        <v>San Esteban</v>
      </c>
    </row>
    <row r="185" spans="1:10">
      <c r="A185">
        <v>5302</v>
      </c>
      <c r="B185" s="7" t="s">
        <v>158</v>
      </c>
      <c r="C185">
        <v>1</v>
      </c>
      <c r="D185">
        <v>125121322</v>
      </c>
      <c r="E185" s="8">
        <v>45992</v>
      </c>
      <c r="F185" s="8">
        <v>46000.337500000001</v>
      </c>
      <c r="G185">
        <v>1</v>
      </c>
      <c r="H185">
        <v>2</v>
      </c>
      <c r="I185" t="str">
        <f t="shared" si="6"/>
        <v>63072025120800375302</v>
      </c>
      <c r="J185" t="str">
        <f>VLOOKUP(A185,Comuna_empresa!B:E,4,0)</f>
        <v>Calle Larga</v>
      </c>
    </row>
    <row r="186" spans="1:10">
      <c r="A186">
        <v>5304</v>
      </c>
      <c r="B186" s="7" t="s">
        <v>159</v>
      </c>
      <c r="C186">
        <v>1</v>
      </c>
      <c r="D186">
        <v>125121435</v>
      </c>
      <c r="E186" s="8">
        <v>45992</v>
      </c>
      <c r="F186" s="8">
        <v>46000.845833333333</v>
      </c>
      <c r="G186">
        <v>1</v>
      </c>
      <c r="H186">
        <v>2</v>
      </c>
      <c r="I186" t="str">
        <f t="shared" si="6"/>
        <v>63072025120800425304</v>
      </c>
      <c r="J186" t="str">
        <f>VLOOKUP(A186,Comuna_empresa!B:E,4,0)</f>
        <v>San Esteban</v>
      </c>
    </row>
    <row r="187" spans="1:10">
      <c r="A187">
        <v>5304</v>
      </c>
      <c r="B187" s="7" t="s">
        <v>160</v>
      </c>
      <c r="C187">
        <v>1</v>
      </c>
      <c r="D187">
        <v>125121436</v>
      </c>
      <c r="E187" s="8">
        <v>45992</v>
      </c>
      <c r="F187" s="8">
        <v>46000.845833333333</v>
      </c>
      <c r="G187">
        <v>1</v>
      </c>
      <c r="H187">
        <v>2</v>
      </c>
      <c r="I187" t="str">
        <f t="shared" si="6"/>
        <v>63072025120800435304</v>
      </c>
      <c r="J187" t="str">
        <f>VLOOKUP(A187,Comuna_empresa!B:E,4,0)</f>
        <v>San Esteban</v>
      </c>
    </row>
    <row r="188" spans="1:10">
      <c r="A188">
        <v>5302</v>
      </c>
      <c r="B188" s="7" t="s">
        <v>161</v>
      </c>
      <c r="C188">
        <v>1</v>
      </c>
      <c r="D188">
        <v>125121323</v>
      </c>
      <c r="E188" s="8">
        <v>45992</v>
      </c>
      <c r="F188" s="8">
        <v>46000.337500000001</v>
      </c>
      <c r="G188">
        <v>1</v>
      </c>
      <c r="H188">
        <v>2</v>
      </c>
      <c r="I188" t="str">
        <f t="shared" si="6"/>
        <v>63072025120800515302</v>
      </c>
      <c r="J188" t="str">
        <f>VLOOKUP(A188,Comuna_empresa!B:E,4,0)</f>
        <v>Calle Larga</v>
      </c>
    </row>
    <row r="189" spans="1:10">
      <c r="A189">
        <v>5302</v>
      </c>
      <c r="B189" s="7" t="s">
        <v>162</v>
      </c>
      <c r="C189">
        <v>1</v>
      </c>
      <c r="D189">
        <v>125121324</v>
      </c>
      <c r="E189" s="8">
        <v>45992</v>
      </c>
      <c r="F189" s="8">
        <v>46000.337500000001</v>
      </c>
      <c r="G189">
        <v>1</v>
      </c>
      <c r="H189">
        <v>2</v>
      </c>
      <c r="I189" t="str">
        <f t="shared" si="6"/>
        <v>63072025120800565302</v>
      </c>
      <c r="J189" t="str">
        <f>VLOOKUP(A189,Comuna_empresa!B:E,4,0)</f>
        <v>Calle Larga</v>
      </c>
    </row>
    <row r="190" spans="1:10">
      <c r="A190">
        <v>5302</v>
      </c>
      <c r="B190" s="7" t="s">
        <v>163</v>
      </c>
      <c r="C190">
        <v>1</v>
      </c>
      <c r="D190">
        <v>125121325</v>
      </c>
      <c r="E190" s="8">
        <v>45992</v>
      </c>
      <c r="F190" s="8">
        <v>46000.337500000001</v>
      </c>
      <c r="G190">
        <v>1</v>
      </c>
      <c r="H190">
        <v>2</v>
      </c>
      <c r="I190" t="str">
        <f t="shared" si="6"/>
        <v>63072025120800615302</v>
      </c>
      <c r="J190" t="str">
        <f>VLOOKUP(A190,Comuna_empresa!B:E,4,0)</f>
        <v>Calle Larga</v>
      </c>
    </row>
    <row r="191" spans="1:10">
      <c r="A191">
        <v>5302</v>
      </c>
      <c r="B191" s="7" t="s">
        <v>164</v>
      </c>
      <c r="C191">
        <v>1</v>
      </c>
      <c r="D191">
        <v>125121326</v>
      </c>
      <c r="E191" s="8">
        <v>45992</v>
      </c>
      <c r="F191" s="8">
        <v>46000.337500000001</v>
      </c>
      <c r="G191">
        <v>4</v>
      </c>
      <c r="H191">
        <v>2</v>
      </c>
      <c r="I191" t="str">
        <f t="shared" si="6"/>
        <v>63072025120800645302</v>
      </c>
      <c r="J191" t="str">
        <f>VLOOKUP(A191,Comuna_empresa!B:E,4,0)</f>
        <v>Calle Larga</v>
      </c>
    </row>
    <row r="192" spans="1:10">
      <c r="A192">
        <v>5302</v>
      </c>
      <c r="B192" s="7" t="s">
        <v>164</v>
      </c>
      <c r="C192">
        <v>3</v>
      </c>
      <c r="D192">
        <v>125121327</v>
      </c>
      <c r="E192" s="8">
        <v>45992</v>
      </c>
      <c r="F192" s="8">
        <v>46000.337500000001</v>
      </c>
      <c r="G192">
        <v>4</v>
      </c>
      <c r="H192">
        <v>2</v>
      </c>
      <c r="I192" t="str">
        <f t="shared" si="6"/>
        <v>63072025120800645302</v>
      </c>
      <c r="J192" t="str">
        <f>VLOOKUP(A192,Comuna_empresa!B:E,4,0)</f>
        <v>Calle Larga</v>
      </c>
    </row>
    <row r="193" spans="1:10">
      <c r="A193">
        <v>5304</v>
      </c>
      <c r="B193" s="7" t="s">
        <v>165</v>
      </c>
      <c r="C193">
        <v>1</v>
      </c>
      <c r="D193">
        <v>125121437</v>
      </c>
      <c r="E193" s="8">
        <v>45992</v>
      </c>
      <c r="F193" s="8">
        <v>46000.845833333333</v>
      </c>
      <c r="G193">
        <v>1</v>
      </c>
      <c r="H193">
        <v>2</v>
      </c>
      <c r="I193" t="str">
        <f t="shared" si="6"/>
        <v>63072025120800715304</v>
      </c>
      <c r="J193" t="str">
        <f>VLOOKUP(A193,Comuna_empresa!B:E,4,0)</f>
        <v>San Esteban</v>
      </c>
    </row>
    <row r="194" spans="1:10">
      <c r="A194">
        <v>5302</v>
      </c>
      <c r="B194" s="7" t="s">
        <v>166</v>
      </c>
      <c r="C194">
        <v>1</v>
      </c>
      <c r="D194">
        <v>125121328</v>
      </c>
      <c r="E194" s="8">
        <v>45992</v>
      </c>
      <c r="F194" s="8">
        <v>46000.337500000001</v>
      </c>
      <c r="G194">
        <v>4</v>
      </c>
      <c r="H194">
        <v>2</v>
      </c>
      <c r="I194" t="str">
        <f t="shared" si="6"/>
        <v>63072025120800745302</v>
      </c>
      <c r="J194" t="str">
        <f>VLOOKUP(A194,Comuna_empresa!B:E,4,0)</f>
        <v>Calle Larga</v>
      </c>
    </row>
    <row r="195" spans="1:10">
      <c r="A195">
        <v>5302</v>
      </c>
      <c r="B195" s="7" t="s">
        <v>167</v>
      </c>
      <c r="C195">
        <v>2</v>
      </c>
      <c r="D195">
        <v>125121329</v>
      </c>
      <c r="E195" s="8">
        <v>45992</v>
      </c>
      <c r="F195" s="8">
        <v>46000.337500000001</v>
      </c>
      <c r="G195">
        <v>4</v>
      </c>
      <c r="H195">
        <v>2</v>
      </c>
      <c r="I195" t="str">
        <f t="shared" si="6"/>
        <v>63072025120800755302</v>
      </c>
      <c r="J195" t="str">
        <f>VLOOKUP(A195,Comuna_empresa!B:E,4,0)</f>
        <v>Calle Larga</v>
      </c>
    </row>
    <row r="196" spans="1:10">
      <c r="A196">
        <v>5302</v>
      </c>
      <c r="B196" s="7" t="s">
        <v>168</v>
      </c>
      <c r="C196">
        <v>1</v>
      </c>
      <c r="D196">
        <v>125121330</v>
      </c>
      <c r="E196" s="8">
        <v>45992</v>
      </c>
      <c r="F196" s="8">
        <v>46000.337500000001</v>
      </c>
      <c r="G196">
        <v>1</v>
      </c>
      <c r="H196">
        <v>2</v>
      </c>
      <c r="I196" t="str">
        <f t="shared" si="6"/>
        <v>63072025120800775302</v>
      </c>
      <c r="J196" t="str">
        <f>VLOOKUP(A196,Comuna_empresa!B:E,4,0)</f>
        <v>Calle Larga</v>
      </c>
    </row>
    <row r="197" spans="1:10">
      <c r="A197">
        <v>5304</v>
      </c>
      <c r="B197" s="7" t="s">
        <v>169</v>
      </c>
      <c r="C197">
        <v>1</v>
      </c>
      <c r="D197">
        <v>125121438</v>
      </c>
      <c r="E197" s="8">
        <v>45992</v>
      </c>
      <c r="F197" s="8">
        <v>46000.845833333333</v>
      </c>
      <c r="G197">
        <v>1</v>
      </c>
      <c r="H197">
        <v>2</v>
      </c>
      <c r="I197" t="str">
        <f t="shared" si="6"/>
        <v>63072025120800815304</v>
      </c>
      <c r="J197" t="str">
        <f>VLOOKUP(A197,Comuna_empresa!B:E,4,0)</f>
        <v>San Esteban</v>
      </c>
    </row>
    <row r="198" spans="1:10">
      <c r="A198">
        <v>5304</v>
      </c>
      <c r="B198" s="7" t="s">
        <v>170</v>
      </c>
      <c r="C198">
        <v>1</v>
      </c>
      <c r="D198">
        <v>125121439</v>
      </c>
      <c r="E198" s="8">
        <v>45992</v>
      </c>
      <c r="F198" s="8">
        <v>46000.845833333333</v>
      </c>
      <c r="G198">
        <v>1</v>
      </c>
      <c r="H198">
        <v>2</v>
      </c>
      <c r="I198" t="str">
        <f t="shared" si="6"/>
        <v>63072025120900175304</v>
      </c>
      <c r="J198" t="str">
        <f>VLOOKUP(A198,Comuna_empresa!B:E,4,0)</f>
        <v>San Esteban</v>
      </c>
    </row>
    <row r="199" spans="1:10">
      <c r="A199">
        <v>5304</v>
      </c>
      <c r="B199" s="7" t="s">
        <v>171</v>
      </c>
      <c r="C199">
        <v>1</v>
      </c>
      <c r="D199">
        <v>125121440</v>
      </c>
      <c r="E199" s="8">
        <v>45992</v>
      </c>
      <c r="F199" s="8">
        <v>46000.845833333333</v>
      </c>
      <c r="G199">
        <v>1</v>
      </c>
      <c r="H199">
        <v>2</v>
      </c>
      <c r="I199" t="str">
        <f t="shared" si="6"/>
        <v>63072025120900445304</v>
      </c>
      <c r="J199" t="str">
        <f>VLOOKUP(A199,Comuna_empresa!B:E,4,0)</f>
        <v>San Esteban</v>
      </c>
    </row>
    <row r="200" spans="1:10">
      <c r="A200">
        <v>5304</v>
      </c>
      <c r="B200" s="7" t="s">
        <v>172</v>
      </c>
      <c r="C200">
        <v>1</v>
      </c>
      <c r="D200">
        <v>125121441</v>
      </c>
      <c r="E200" s="8">
        <v>45992</v>
      </c>
      <c r="F200" s="8">
        <v>46000.845833333333</v>
      </c>
      <c r="G200">
        <v>1</v>
      </c>
      <c r="H200">
        <v>2</v>
      </c>
      <c r="I200" t="str">
        <f t="shared" si="6"/>
        <v>63072025120900565304</v>
      </c>
      <c r="J200" t="str">
        <f>VLOOKUP(A200,Comuna_empresa!B:E,4,0)</f>
        <v>San Esteban</v>
      </c>
    </row>
    <row r="201" spans="1:10">
      <c r="A201">
        <v>5304</v>
      </c>
      <c r="B201" s="7" t="s">
        <v>173</v>
      </c>
      <c r="C201">
        <v>1</v>
      </c>
      <c r="D201">
        <v>125121442</v>
      </c>
      <c r="E201" s="8">
        <v>45992</v>
      </c>
      <c r="F201" s="8">
        <v>46000.845833333333</v>
      </c>
      <c r="G201">
        <v>1</v>
      </c>
      <c r="H201">
        <v>2</v>
      </c>
      <c r="I201" t="str">
        <f t="shared" si="6"/>
        <v>63072025120900825304</v>
      </c>
      <c r="J201" t="str">
        <f>VLOOKUP(A201,Comuna_empresa!B:E,4,0)</f>
        <v>San Esteban</v>
      </c>
    </row>
    <row r="202" spans="1:10">
      <c r="A202">
        <v>5304</v>
      </c>
      <c r="B202" s="7" t="s">
        <v>174</v>
      </c>
      <c r="C202">
        <v>1</v>
      </c>
      <c r="D202">
        <v>125121443</v>
      </c>
      <c r="E202" s="8">
        <v>45992</v>
      </c>
      <c r="F202" s="8">
        <v>46000.845833333333</v>
      </c>
      <c r="G202">
        <v>1</v>
      </c>
      <c r="H202">
        <v>2</v>
      </c>
      <c r="I202" t="str">
        <f t="shared" si="6"/>
        <v>63072025120900865304</v>
      </c>
      <c r="J202" t="str">
        <f>VLOOKUP(A202,Comuna_empresa!B:E,4,0)</f>
        <v>San Esteban</v>
      </c>
    </row>
    <row r="203" spans="1:10">
      <c r="A203">
        <v>5304</v>
      </c>
      <c r="B203" s="7" t="s">
        <v>175</v>
      </c>
      <c r="C203">
        <v>1</v>
      </c>
      <c r="D203">
        <v>125121444</v>
      </c>
      <c r="E203" s="8">
        <v>45992</v>
      </c>
      <c r="F203" s="8">
        <v>46000.845833333333</v>
      </c>
      <c r="G203">
        <v>1</v>
      </c>
      <c r="H203">
        <v>2</v>
      </c>
      <c r="I203" t="str">
        <f t="shared" ref="I203:I241" si="7">"6307"&amp;MID(B203,7,18)&amp;A203</f>
        <v>63072025120900885304</v>
      </c>
      <c r="J203" t="str">
        <f>VLOOKUP(A203,Comuna_empresa!B:E,4,0)</f>
        <v>San Esteban</v>
      </c>
    </row>
    <row r="204" spans="1:10">
      <c r="A204">
        <v>5304</v>
      </c>
      <c r="B204" s="7" t="s">
        <v>176</v>
      </c>
      <c r="C204">
        <v>1</v>
      </c>
      <c r="D204">
        <v>125121445</v>
      </c>
      <c r="E204" s="8">
        <v>45992</v>
      </c>
      <c r="F204" s="8">
        <v>46000.845833333333</v>
      </c>
      <c r="G204">
        <v>1</v>
      </c>
      <c r="H204">
        <v>2</v>
      </c>
      <c r="I204" t="str">
        <f t="shared" si="7"/>
        <v>63072025120900915304</v>
      </c>
      <c r="J204" t="str">
        <f>VLOOKUP(A204,Comuna_empresa!B:E,4,0)</f>
        <v>San Esteban</v>
      </c>
    </row>
    <row r="205" spans="1:10">
      <c r="A205">
        <v>5601</v>
      </c>
      <c r="B205" s="7" t="s">
        <v>177</v>
      </c>
      <c r="C205">
        <v>1</v>
      </c>
      <c r="D205">
        <v>125121893</v>
      </c>
      <c r="E205" s="8">
        <v>45992</v>
      </c>
      <c r="F205" s="8">
        <v>46009.303472222222</v>
      </c>
      <c r="G205">
        <v>1</v>
      </c>
      <c r="H205">
        <v>2</v>
      </c>
      <c r="I205" t="str">
        <f t="shared" si="7"/>
        <v>63072025121500915601</v>
      </c>
      <c r="J205" t="str">
        <f>VLOOKUP(A205,Comuna_empresa!B:E,4,0)</f>
        <v>San Antonio</v>
      </c>
    </row>
    <row r="206" spans="1:10">
      <c r="A206">
        <v>5601</v>
      </c>
      <c r="B206" s="7" t="s">
        <v>178</v>
      </c>
      <c r="C206">
        <v>1</v>
      </c>
      <c r="D206">
        <v>125121895</v>
      </c>
      <c r="E206" s="8">
        <v>45992</v>
      </c>
      <c r="F206" s="8">
        <v>46009.303472222222</v>
      </c>
      <c r="G206">
        <v>2</v>
      </c>
      <c r="H206">
        <v>2</v>
      </c>
      <c r="I206" t="str">
        <f t="shared" si="7"/>
        <v>63072025121600165601</v>
      </c>
      <c r="J206" t="str">
        <f>VLOOKUP(A206,Comuna_empresa!B:E,4,0)</f>
        <v>San Antonio</v>
      </c>
    </row>
    <row r="207" spans="1:10">
      <c r="A207">
        <v>5601</v>
      </c>
      <c r="B207" s="7" t="s">
        <v>179</v>
      </c>
      <c r="C207">
        <v>1</v>
      </c>
      <c r="D207">
        <v>125121896</v>
      </c>
      <c r="E207" s="8">
        <v>45992</v>
      </c>
      <c r="F207" s="8">
        <v>46009.303472222222</v>
      </c>
      <c r="G207">
        <v>2</v>
      </c>
      <c r="H207">
        <v>2</v>
      </c>
      <c r="I207" t="str">
        <f t="shared" si="7"/>
        <v>63072025121600225601</v>
      </c>
      <c r="J207" t="str">
        <f>VLOOKUP(A207,Comuna_empresa!B:E,4,0)</f>
        <v>San Antonio</v>
      </c>
    </row>
    <row r="208" spans="1:10">
      <c r="A208">
        <v>5603</v>
      </c>
      <c r="B208" s="7" t="s">
        <v>179</v>
      </c>
      <c r="C208">
        <v>1</v>
      </c>
      <c r="D208">
        <v>125121983</v>
      </c>
      <c r="E208" s="8">
        <v>45992</v>
      </c>
      <c r="F208" s="8">
        <v>46009.303472222222</v>
      </c>
      <c r="G208">
        <v>2</v>
      </c>
      <c r="H208">
        <v>2</v>
      </c>
      <c r="I208" t="str">
        <f t="shared" si="7"/>
        <v>63072025121600225603</v>
      </c>
      <c r="J208" t="str">
        <f>VLOOKUP(A208,Comuna_empresa!B:E,4,0)</f>
        <v>Cartagena</v>
      </c>
    </row>
    <row r="209" spans="1:10">
      <c r="A209">
        <v>5601</v>
      </c>
      <c r="B209" s="7" t="s">
        <v>180</v>
      </c>
      <c r="C209">
        <v>1</v>
      </c>
      <c r="D209">
        <v>125121897</v>
      </c>
      <c r="E209" s="8">
        <v>45992</v>
      </c>
      <c r="F209" s="8">
        <v>46009.303472222222</v>
      </c>
      <c r="G209">
        <v>2</v>
      </c>
      <c r="H209">
        <v>2</v>
      </c>
      <c r="I209" t="str">
        <f t="shared" si="7"/>
        <v>63072025121600415601</v>
      </c>
      <c r="J209" t="str">
        <f>VLOOKUP(A209,Comuna_empresa!B:E,4,0)</f>
        <v>San Antonio</v>
      </c>
    </row>
    <row r="210" spans="1:10">
      <c r="A210">
        <v>5603</v>
      </c>
      <c r="B210" s="7" t="s">
        <v>181</v>
      </c>
      <c r="C210">
        <v>1</v>
      </c>
      <c r="D210">
        <v>125121984</v>
      </c>
      <c r="E210" s="8">
        <v>45992</v>
      </c>
      <c r="F210" s="8">
        <v>46009.303472222222</v>
      </c>
      <c r="G210">
        <v>1</v>
      </c>
      <c r="H210">
        <v>2</v>
      </c>
      <c r="I210" t="str">
        <f t="shared" si="7"/>
        <v>63072025121600455603</v>
      </c>
      <c r="J210" t="str">
        <f>VLOOKUP(A210,Comuna_empresa!B:E,4,0)</f>
        <v>Cartagena</v>
      </c>
    </row>
    <row r="211" spans="1:10">
      <c r="A211">
        <v>5603</v>
      </c>
      <c r="B211" s="7" t="s">
        <v>182</v>
      </c>
      <c r="C211">
        <v>1</v>
      </c>
      <c r="D211">
        <v>125121985</v>
      </c>
      <c r="E211" s="8">
        <v>45992</v>
      </c>
      <c r="F211" s="8">
        <v>46009.303472222222</v>
      </c>
      <c r="G211">
        <v>1</v>
      </c>
      <c r="H211">
        <v>2</v>
      </c>
      <c r="I211" t="str">
        <f t="shared" si="7"/>
        <v>63072025121600545603</v>
      </c>
      <c r="J211" t="str">
        <f>VLOOKUP(A211,Comuna_empresa!B:E,4,0)</f>
        <v>Cartagena</v>
      </c>
    </row>
    <row r="212" spans="1:10">
      <c r="A212">
        <v>5603</v>
      </c>
      <c r="B212" s="7" t="s">
        <v>183</v>
      </c>
      <c r="C212">
        <v>1</v>
      </c>
      <c r="D212">
        <v>125121986</v>
      </c>
      <c r="E212" s="8">
        <v>45992</v>
      </c>
      <c r="F212" s="8">
        <v>46009.303472222222</v>
      </c>
      <c r="G212">
        <v>1</v>
      </c>
      <c r="H212">
        <v>2</v>
      </c>
      <c r="I212" t="str">
        <f t="shared" si="7"/>
        <v>63072025121600765603</v>
      </c>
      <c r="J212" t="str">
        <f>VLOOKUP(A212,Comuna_empresa!B:E,4,0)</f>
        <v>Cartagena</v>
      </c>
    </row>
    <row r="213" spans="1:10">
      <c r="A213">
        <v>5601</v>
      </c>
      <c r="B213" s="7" t="s">
        <v>184</v>
      </c>
      <c r="C213">
        <v>1</v>
      </c>
      <c r="D213">
        <v>125121898</v>
      </c>
      <c r="E213" s="8">
        <v>45992</v>
      </c>
      <c r="F213" s="8">
        <v>46009.303472222222</v>
      </c>
      <c r="G213">
        <v>4</v>
      </c>
      <c r="H213">
        <v>2</v>
      </c>
      <c r="I213" t="str">
        <f t="shared" si="7"/>
        <v>63072025121600985601</v>
      </c>
      <c r="J213" t="str">
        <f>VLOOKUP(A213,Comuna_empresa!B:E,4,0)</f>
        <v>San Antonio</v>
      </c>
    </row>
    <row r="214" spans="1:10">
      <c r="A214">
        <v>5601</v>
      </c>
      <c r="B214" s="7" t="s">
        <v>184</v>
      </c>
      <c r="C214">
        <v>2</v>
      </c>
      <c r="D214">
        <v>125121899</v>
      </c>
      <c r="E214" s="8">
        <v>45992</v>
      </c>
      <c r="F214" s="8">
        <v>46009.303472222222</v>
      </c>
      <c r="G214">
        <v>4</v>
      </c>
      <c r="H214">
        <v>2</v>
      </c>
      <c r="I214" t="str">
        <f t="shared" si="7"/>
        <v>63072025121600985601</v>
      </c>
      <c r="J214" t="str">
        <f>VLOOKUP(A214,Comuna_empresa!B:E,4,0)</f>
        <v>San Antonio</v>
      </c>
    </row>
    <row r="215" spans="1:10">
      <c r="A215">
        <v>5603</v>
      </c>
      <c r="B215" s="7" t="s">
        <v>184</v>
      </c>
      <c r="C215">
        <v>1</v>
      </c>
      <c r="D215">
        <v>125121987</v>
      </c>
      <c r="E215" s="8">
        <v>45992</v>
      </c>
      <c r="F215" s="8">
        <v>46009.303472222222</v>
      </c>
      <c r="G215">
        <v>4</v>
      </c>
      <c r="H215">
        <v>2</v>
      </c>
      <c r="I215" t="str">
        <f t="shared" si="7"/>
        <v>63072025121600985603</v>
      </c>
      <c r="J215" t="str">
        <f>VLOOKUP(A215,Comuna_empresa!B:E,4,0)</f>
        <v>Cartagena</v>
      </c>
    </row>
    <row r="216" spans="1:10">
      <c r="A216">
        <v>5601</v>
      </c>
      <c r="B216" s="7" t="s">
        <v>185</v>
      </c>
      <c r="C216">
        <v>2</v>
      </c>
      <c r="D216">
        <v>125121901</v>
      </c>
      <c r="E216" s="8">
        <v>45992</v>
      </c>
      <c r="F216" s="8">
        <v>46009.303472222222</v>
      </c>
      <c r="G216">
        <v>4</v>
      </c>
      <c r="H216">
        <v>2</v>
      </c>
      <c r="I216" t="str">
        <f t="shared" si="7"/>
        <v>63072025121600995601</v>
      </c>
      <c r="J216" t="str">
        <f>VLOOKUP(A216,Comuna_empresa!B:E,4,0)</f>
        <v>San Antonio</v>
      </c>
    </row>
    <row r="217" spans="1:10">
      <c r="A217">
        <v>5603</v>
      </c>
      <c r="B217" s="7" t="s">
        <v>185</v>
      </c>
      <c r="C217">
        <v>2</v>
      </c>
      <c r="D217">
        <v>125121988</v>
      </c>
      <c r="E217" s="8">
        <v>45992</v>
      </c>
      <c r="F217" s="8">
        <v>46009.303472222222</v>
      </c>
      <c r="G217">
        <v>4</v>
      </c>
      <c r="H217">
        <v>2</v>
      </c>
      <c r="I217" t="str">
        <f t="shared" si="7"/>
        <v>63072025121600995603</v>
      </c>
      <c r="J217" t="str">
        <f>VLOOKUP(A217,Comuna_empresa!B:E,4,0)</f>
        <v>Cartagena</v>
      </c>
    </row>
    <row r="218" spans="1:10">
      <c r="A218">
        <v>5601</v>
      </c>
      <c r="B218" s="7" t="s">
        <v>186</v>
      </c>
      <c r="C218">
        <v>1</v>
      </c>
      <c r="D218">
        <v>125121902</v>
      </c>
      <c r="E218" s="8">
        <v>45992</v>
      </c>
      <c r="F218" s="8">
        <v>46009.303472222222</v>
      </c>
      <c r="G218">
        <v>1</v>
      </c>
      <c r="H218">
        <v>2</v>
      </c>
      <c r="I218" t="str">
        <f t="shared" si="7"/>
        <v>63072025121700355601</v>
      </c>
      <c r="J218" t="str">
        <f>VLOOKUP(A218,Comuna_empresa!B:E,4,0)</f>
        <v>San Antonio</v>
      </c>
    </row>
    <row r="219" spans="1:10">
      <c r="A219">
        <v>5603</v>
      </c>
      <c r="B219" s="7" t="s">
        <v>187</v>
      </c>
      <c r="C219">
        <v>1</v>
      </c>
      <c r="D219">
        <v>125121989</v>
      </c>
      <c r="E219" s="8">
        <v>45992</v>
      </c>
      <c r="F219" s="8">
        <v>46009.303472222222</v>
      </c>
      <c r="G219">
        <v>1</v>
      </c>
      <c r="H219">
        <v>2</v>
      </c>
      <c r="I219" t="str">
        <f t="shared" si="7"/>
        <v>63072025121700455603</v>
      </c>
      <c r="J219" t="str">
        <f>VLOOKUP(A219,Comuna_empresa!B:E,4,0)</f>
        <v>Cartagena</v>
      </c>
    </row>
    <row r="220" spans="1:10">
      <c r="A220">
        <v>5601</v>
      </c>
      <c r="B220" s="7" t="s">
        <v>188</v>
      </c>
      <c r="C220">
        <v>1</v>
      </c>
      <c r="D220">
        <v>125121903</v>
      </c>
      <c r="E220" s="8">
        <v>45992</v>
      </c>
      <c r="F220" s="8">
        <v>46009.303472222222</v>
      </c>
      <c r="G220">
        <v>1</v>
      </c>
      <c r="H220">
        <v>2</v>
      </c>
      <c r="I220" t="str">
        <f t="shared" si="7"/>
        <v>63072025121700615601</v>
      </c>
      <c r="J220" t="str">
        <f>VLOOKUP(A220,Comuna_empresa!B:E,4,0)</f>
        <v>San Antonio</v>
      </c>
    </row>
    <row r="221" spans="1:10">
      <c r="A221">
        <v>5603</v>
      </c>
      <c r="B221" s="7" t="s">
        <v>189</v>
      </c>
      <c r="C221">
        <v>1</v>
      </c>
      <c r="D221">
        <v>125121990</v>
      </c>
      <c r="E221" s="8">
        <v>45992</v>
      </c>
      <c r="F221" s="8">
        <v>46009.303472222222</v>
      </c>
      <c r="G221">
        <v>1</v>
      </c>
      <c r="H221">
        <v>2</v>
      </c>
      <c r="I221" t="str">
        <f t="shared" si="7"/>
        <v>63072025121700685603</v>
      </c>
      <c r="J221" t="str">
        <f>VLOOKUP(A221,Comuna_empresa!B:E,4,0)</f>
        <v>Cartagena</v>
      </c>
    </row>
    <row r="222" spans="1:10">
      <c r="A222">
        <v>5601</v>
      </c>
      <c r="B222" s="7" t="s">
        <v>190</v>
      </c>
      <c r="C222">
        <v>1</v>
      </c>
      <c r="D222">
        <v>125121904</v>
      </c>
      <c r="E222" s="8">
        <v>45992</v>
      </c>
      <c r="F222" s="8">
        <v>46009.303472222222</v>
      </c>
      <c r="G222">
        <v>4</v>
      </c>
      <c r="H222">
        <v>2</v>
      </c>
      <c r="I222" t="str">
        <f t="shared" si="7"/>
        <v>63072025121800025601</v>
      </c>
      <c r="J222" t="str">
        <f>VLOOKUP(A222,Comuna_empresa!B:E,4,0)</f>
        <v>San Antonio</v>
      </c>
    </row>
    <row r="223" spans="1:10">
      <c r="A223">
        <v>5301</v>
      </c>
      <c r="B223" s="7" t="s">
        <v>191</v>
      </c>
      <c r="C223">
        <v>1</v>
      </c>
      <c r="D223">
        <v>125121276</v>
      </c>
      <c r="E223" s="8">
        <v>45992</v>
      </c>
      <c r="F223" s="8">
        <v>46022.379166666666</v>
      </c>
      <c r="G223">
        <v>1</v>
      </c>
      <c r="H223">
        <v>2</v>
      </c>
      <c r="I223" t="str">
        <f t="shared" si="7"/>
        <v>63072025122900325301</v>
      </c>
      <c r="J223" t="str">
        <f>VLOOKUP(A223,Comuna_empresa!B:E,4,0)</f>
        <v>Los Andes</v>
      </c>
    </row>
    <row r="224" spans="1:10">
      <c r="A224">
        <v>5301</v>
      </c>
      <c r="B224" s="7" t="s">
        <v>192</v>
      </c>
      <c r="C224">
        <v>1</v>
      </c>
      <c r="D224">
        <v>125121280</v>
      </c>
      <c r="E224" s="8">
        <v>45992</v>
      </c>
      <c r="F224" s="8">
        <v>46022.379166666666</v>
      </c>
      <c r="G224">
        <v>4</v>
      </c>
      <c r="H224">
        <v>2</v>
      </c>
      <c r="I224" t="str">
        <f t="shared" si="7"/>
        <v>63072025122900435301</v>
      </c>
      <c r="J224" t="str">
        <f>VLOOKUP(A224,Comuna_empresa!B:E,4,0)</f>
        <v>Los Andes</v>
      </c>
    </row>
    <row r="225" spans="1:10">
      <c r="A225">
        <v>5301</v>
      </c>
      <c r="B225" s="7" t="s">
        <v>193</v>
      </c>
      <c r="C225">
        <v>1</v>
      </c>
      <c r="D225">
        <v>125121281</v>
      </c>
      <c r="E225" s="8">
        <v>45992</v>
      </c>
      <c r="F225" s="8">
        <v>46022.379166666666</v>
      </c>
      <c r="G225">
        <v>4</v>
      </c>
      <c r="H225">
        <v>2</v>
      </c>
      <c r="I225" t="str">
        <f t="shared" si="7"/>
        <v>63072025122900445301</v>
      </c>
      <c r="J225" t="str">
        <f>VLOOKUP(A225,Comuna_empresa!B:E,4,0)</f>
        <v>Los Andes</v>
      </c>
    </row>
    <row r="226" spans="1:10">
      <c r="A226">
        <v>5301</v>
      </c>
      <c r="B226" s="7" t="s">
        <v>194</v>
      </c>
      <c r="C226">
        <v>1</v>
      </c>
      <c r="D226">
        <v>125121282</v>
      </c>
      <c r="E226" s="8">
        <v>45992</v>
      </c>
      <c r="F226" s="8">
        <v>46022.379166666666</v>
      </c>
      <c r="G226">
        <v>4</v>
      </c>
      <c r="H226">
        <v>2</v>
      </c>
      <c r="I226" t="str">
        <f t="shared" si="7"/>
        <v>63072025122900545301</v>
      </c>
      <c r="J226" t="str">
        <f>VLOOKUP(A226,Comuna_empresa!B:E,4,0)</f>
        <v>Los Andes</v>
      </c>
    </row>
    <row r="227" spans="1:10">
      <c r="A227">
        <v>5301</v>
      </c>
      <c r="B227" s="7" t="s">
        <v>194</v>
      </c>
      <c r="C227">
        <v>2</v>
      </c>
      <c r="D227">
        <v>125121283</v>
      </c>
      <c r="E227" s="8">
        <v>45992</v>
      </c>
      <c r="F227" s="8">
        <v>46022.379166666666</v>
      </c>
      <c r="G227">
        <v>4</v>
      </c>
      <c r="H227">
        <v>2</v>
      </c>
      <c r="I227" t="str">
        <f t="shared" si="7"/>
        <v>63072025122900545301</v>
      </c>
      <c r="J227" t="str">
        <f>VLOOKUP(A227,Comuna_empresa!B:E,4,0)</f>
        <v>Los Andes</v>
      </c>
    </row>
    <row r="228" spans="1:10">
      <c r="A228">
        <v>5301</v>
      </c>
      <c r="B228" s="7" t="s">
        <v>194</v>
      </c>
      <c r="C228">
        <v>3</v>
      </c>
      <c r="D228">
        <v>125121284</v>
      </c>
      <c r="E228" s="8">
        <v>45992</v>
      </c>
      <c r="F228" s="8">
        <v>46022.379166666666</v>
      </c>
      <c r="G228">
        <v>4</v>
      </c>
      <c r="H228">
        <v>2</v>
      </c>
      <c r="I228" t="str">
        <f t="shared" si="7"/>
        <v>63072025122900545301</v>
      </c>
      <c r="J228" t="str">
        <f>VLOOKUP(A228,Comuna_empresa!B:E,4,0)</f>
        <v>Los Andes</v>
      </c>
    </row>
    <row r="229" spans="1:10">
      <c r="A229">
        <v>5302</v>
      </c>
      <c r="B229" s="7" t="s">
        <v>194</v>
      </c>
      <c r="C229">
        <v>2</v>
      </c>
      <c r="D229">
        <v>125121356</v>
      </c>
      <c r="E229" s="8">
        <v>45992</v>
      </c>
      <c r="F229" s="8">
        <v>46023.004166666666</v>
      </c>
      <c r="G229">
        <v>4</v>
      </c>
      <c r="H229">
        <v>2</v>
      </c>
      <c r="I229" t="str">
        <f t="shared" si="7"/>
        <v>63072025122900545302</v>
      </c>
      <c r="J229" t="str">
        <f>VLOOKUP(A229,Comuna_empresa!B:E,4,0)</f>
        <v>Calle Larga</v>
      </c>
    </row>
    <row r="230" spans="1:10">
      <c r="A230">
        <v>5301</v>
      </c>
      <c r="B230" s="7" t="s">
        <v>195</v>
      </c>
      <c r="C230">
        <v>1</v>
      </c>
      <c r="D230">
        <v>125121285</v>
      </c>
      <c r="E230" s="8">
        <v>45992</v>
      </c>
      <c r="F230" s="8">
        <v>46022.379166666666</v>
      </c>
      <c r="G230">
        <v>1</v>
      </c>
      <c r="H230">
        <v>2</v>
      </c>
      <c r="I230" t="str">
        <f t="shared" si="7"/>
        <v>63072025122900595301</v>
      </c>
      <c r="J230" t="str">
        <f>VLOOKUP(A230,Comuna_empresa!B:E,4,0)</f>
        <v>Los Andes</v>
      </c>
    </row>
    <row r="231" spans="1:10">
      <c r="A231">
        <v>5301</v>
      </c>
      <c r="B231" s="7" t="s">
        <v>196</v>
      </c>
      <c r="C231">
        <v>1</v>
      </c>
      <c r="D231">
        <v>125121286</v>
      </c>
      <c r="E231" s="8">
        <v>45992</v>
      </c>
      <c r="F231" s="8">
        <v>46022.379166666666</v>
      </c>
      <c r="G231">
        <v>1</v>
      </c>
      <c r="H231">
        <v>2</v>
      </c>
      <c r="I231" t="str">
        <f t="shared" si="7"/>
        <v>63072025122900605301</v>
      </c>
      <c r="J231" t="str">
        <f>VLOOKUP(A231,Comuna_empresa!B:E,4,0)</f>
        <v>Los Andes</v>
      </c>
    </row>
    <row r="232" spans="1:10">
      <c r="A232">
        <v>5301</v>
      </c>
      <c r="B232" s="7" t="s">
        <v>197</v>
      </c>
      <c r="C232">
        <v>1</v>
      </c>
      <c r="D232">
        <v>125121287</v>
      </c>
      <c r="E232" s="8">
        <v>45992</v>
      </c>
      <c r="F232" s="8">
        <v>46022.379166666666</v>
      </c>
      <c r="G232">
        <v>1</v>
      </c>
      <c r="H232">
        <v>2</v>
      </c>
      <c r="I232" t="str">
        <f t="shared" si="7"/>
        <v>63072025122900705301</v>
      </c>
      <c r="J232" t="str">
        <f>VLOOKUP(A232,Comuna_empresa!B:E,4,0)</f>
        <v>Los Andes</v>
      </c>
    </row>
    <row r="233" spans="1:10">
      <c r="A233">
        <v>5301</v>
      </c>
      <c r="B233" s="7" t="s">
        <v>198</v>
      </c>
      <c r="C233">
        <v>1</v>
      </c>
      <c r="D233">
        <v>125121288</v>
      </c>
      <c r="E233" s="8">
        <v>45992</v>
      </c>
      <c r="F233" s="8">
        <v>46022.379166666666</v>
      </c>
      <c r="G233">
        <v>4</v>
      </c>
      <c r="H233">
        <v>2</v>
      </c>
      <c r="I233" t="str">
        <f t="shared" si="7"/>
        <v>63072025123000275301</v>
      </c>
      <c r="J233" t="str">
        <f>VLOOKUP(A233,Comuna_empresa!B:E,4,0)</f>
        <v>Los Andes</v>
      </c>
    </row>
    <row r="234" spans="1:10">
      <c r="A234">
        <v>5301</v>
      </c>
      <c r="B234" s="7" t="s">
        <v>199</v>
      </c>
      <c r="C234">
        <v>1</v>
      </c>
      <c r="D234">
        <v>125121289</v>
      </c>
      <c r="E234" s="8">
        <v>45992</v>
      </c>
      <c r="F234" s="8">
        <v>46022.379166666666</v>
      </c>
      <c r="G234">
        <v>1</v>
      </c>
      <c r="H234">
        <v>2</v>
      </c>
      <c r="I234" t="str">
        <f t="shared" si="7"/>
        <v>63072025123000405301</v>
      </c>
      <c r="J234" t="str">
        <f>VLOOKUP(A234,Comuna_empresa!B:E,4,0)</f>
        <v>Los Andes</v>
      </c>
    </row>
    <row r="235" spans="1:10">
      <c r="A235">
        <v>5302</v>
      </c>
      <c r="B235" s="7" t="s">
        <v>200</v>
      </c>
      <c r="C235">
        <v>1</v>
      </c>
      <c r="D235">
        <v>125121357</v>
      </c>
      <c r="E235" s="8">
        <v>45992</v>
      </c>
      <c r="F235" s="8">
        <v>46023.004166666666</v>
      </c>
      <c r="G235">
        <v>1</v>
      </c>
      <c r="H235">
        <v>2</v>
      </c>
      <c r="I235" t="str">
        <f t="shared" si="7"/>
        <v>63072025123000425302</v>
      </c>
      <c r="J235" t="str">
        <f>VLOOKUP(A235,Comuna_empresa!B:E,4,0)</f>
        <v>Calle Larga</v>
      </c>
    </row>
    <row r="236" spans="1:10">
      <c r="A236">
        <v>5301</v>
      </c>
      <c r="B236" s="7" t="s">
        <v>201</v>
      </c>
      <c r="C236">
        <v>1</v>
      </c>
      <c r="D236">
        <v>125121290</v>
      </c>
      <c r="E236" s="8">
        <v>45992</v>
      </c>
      <c r="F236" s="8">
        <v>46022.379166666666</v>
      </c>
      <c r="G236">
        <v>1</v>
      </c>
      <c r="H236">
        <v>2</v>
      </c>
      <c r="I236" t="str">
        <f t="shared" si="7"/>
        <v>63072025123000615301</v>
      </c>
      <c r="J236" t="str">
        <f>VLOOKUP(A236,Comuna_empresa!B:E,4,0)</f>
        <v>Los Andes</v>
      </c>
    </row>
    <row r="237" spans="1:10">
      <c r="A237">
        <v>5301</v>
      </c>
      <c r="B237" s="7" t="s">
        <v>202</v>
      </c>
      <c r="C237">
        <v>1</v>
      </c>
      <c r="D237">
        <v>125121291</v>
      </c>
      <c r="E237" s="8">
        <v>45992</v>
      </c>
      <c r="F237" s="8">
        <v>46022.379166666666</v>
      </c>
      <c r="G237">
        <v>1</v>
      </c>
      <c r="H237">
        <v>2</v>
      </c>
      <c r="I237" t="str">
        <f t="shared" si="7"/>
        <v>63072025123000695301</v>
      </c>
      <c r="J237" t="str">
        <f>VLOOKUP(A237,Comuna_empresa!B:E,4,0)</f>
        <v>Los Andes</v>
      </c>
    </row>
    <row r="238" spans="1:10">
      <c r="A238">
        <v>5302</v>
      </c>
      <c r="B238" s="7" t="s">
        <v>203</v>
      </c>
      <c r="C238">
        <v>1</v>
      </c>
      <c r="D238">
        <v>125121358</v>
      </c>
      <c r="E238" s="8">
        <v>45992</v>
      </c>
      <c r="F238" s="8">
        <v>46023.004166666666</v>
      </c>
      <c r="G238">
        <v>1</v>
      </c>
      <c r="H238">
        <v>2</v>
      </c>
      <c r="I238" t="str">
        <f t="shared" si="7"/>
        <v>63072025123000725302</v>
      </c>
      <c r="J238" t="str">
        <f>VLOOKUP(A238,Comuna_empresa!B:E,4,0)</f>
        <v>Calle Larga</v>
      </c>
    </row>
    <row r="239" spans="1:10">
      <c r="A239">
        <v>5301</v>
      </c>
      <c r="B239" s="7" t="s">
        <v>204</v>
      </c>
      <c r="C239">
        <v>1</v>
      </c>
      <c r="D239">
        <v>125121292</v>
      </c>
      <c r="E239" s="8">
        <v>45992</v>
      </c>
      <c r="F239" s="8">
        <v>46022.379166666666</v>
      </c>
      <c r="G239">
        <v>1</v>
      </c>
      <c r="H239">
        <v>2</v>
      </c>
      <c r="I239" t="str">
        <f t="shared" si="7"/>
        <v>63072025123000735301</v>
      </c>
      <c r="J239" t="str">
        <f>VLOOKUP(A239,Comuna_empresa!B:E,4,0)</f>
        <v>Los Andes</v>
      </c>
    </row>
    <row r="240" spans="1:10">
      <c r="A240">
        <v>5302</v>
      </c>
      <c r="B240" s="7" t="s">
        <v>205</v>
      </c>
      <c r="C240">
        <v>1</v>
      </c>
      <c r="D240">
        <v>125121359</v>
      </c>
      <c r="E240" s="8">
        <v>45992</v>
      </c>
      <c r="F240" s="8">
        <v>46023.004166666666</v>
      </c>
      <c r="G240">
        <v>1</v>
      </c>
      <c r="H240">
        <v>2</v>
      </c>
      <c r="I240" t="str">
        <f t="shared" si="7"/>
        <v>63072025123000755302</v>
      </c>
      <c r="J240" t="str">
        <f>VLOOKUP(A240,Comuna_empresa!B:E,4,0)</f>
        <v>Calle Larga</v>
      </c>
    </row>
    <row r="241" spans="1:10">
      <c r="A241">
        <v>5302</v>
      </c>
      <c r="B241" s="7" t="s">
        <v>206</v>
      </c>
      <c r="C241">
        <v>1</v>
      </c>
      <c r="D241">
        <v>125121360</v>
      </c>
      <c r="E241" s="8">
        <v>45992</v>
      </c>
      <c r="F241" s="8">
        <v>46023.004166666666</v>
      </c>
      <c r="G241">
        <v>1</v>
      </c>
      <c r="H241">
        <v>2</v>
      </c>
      <c r="I241" t="str">
        <f t="shared" si="7"/>
        <v>63072025123100595302</v>
      </c>
      <c r="J241" t="str">
        <f>VLOOKUP(A241,Comuna_empresa!B:E,4,0)</f>
        <v>Calle Larga</v>
      </c>
    </row>
    <row r="242" spans="1:10">
      <c r="A242">
        <v>5301</v>
      </c>
      <c r="B242" s="7" t="s">
        <v>210</v>
      </c>
      <c r="C242">
        <v>1</v>
      </c>
      <c r="D242">
        <v>126011193</v>
      </c>
      <c r="E242" s="8">
        <v>46030.727083333331</v>
      </c>
      <c r="F242" s="8">
        <v>46032.602083333331</v>
      </c>
      <c r="G242">
        <v>4</v>
      </c>
      <c r="H242">
        <v>2</v>
      </c>
      <c r="I242" t="str">
        <f t="shared" ref="I242:I274" si="8">"6307"&amp;MID(B242,7,18)&amp;A242</f>
        <v>63072026010800385301</v>
      </c>
      <c r="J242" t="str">
        <f>VLOOKUP(A242,Comuna_empresa!B:E,4,0)</f>
        <v>Los Andes</v>
      </c>
    </row>
    <row r="243" spans="1:10">
      <c r="A243">
        <v>5301</v>
      </c>
      <c r="B243" s="7" t="s">
        <v>210</v>
      </c>
      <c r="C243">
        <v>1</v>
      </c>
      <c r="D243">
        <v>126011194</v>
      </c>
      <c r="E243" s="8">
        <v>46030.727083333331</v>
      </c>
      <c r="F243" s="8">
        <v>46032.602083333331</v>
      </c>
      <c r="G243">
        <v>4</v>
      </c>
      <c r="H243">
        <v>2</v>
      </c>
      <c r="I243" t="str">
        <f t="shared" si="8"/>
        <v>63072026010800385301</v>
      </c>
      <c r="J243" t="str">
        <f>VLOOKUP(A243,Comuna_empresa!B:E,4,0)</f>
        <v>Los Andes</v>
      </c>
    </row>
    <row r="244" spans="1:10">
      <c r="A244">
        <v>5301</v>
      </c>
      <c r="B244" s="7" t="s">
        <v>210</v>
      </c>
      <c r="C244">
        <v>1</v>
      </c>
      <c r="D244">
        <v>126011195</v>
      </c>
      <c r="E244" s="8">
        <v>46030.727083333331</v>
      </c>
      <c r="F244" s="8">
        <v>46032.602083333331</v>
      </c>
      <c r="G244">
        <v>4</v>
      </c>
      <c r="H244">
        <v>2</v>
      </c>
      <c r="I244" t="str">
        <f t="shared" si="8"/>
        <v>63072026010800385301</v>
      </c>
      <c r="J244" t="str">
        <f>VLOOKUP(A244,Comuna_empresa!B:E,4,0)</f>
        <v>Los Andes</v>
      </c>
    </row>
    <row r="245" spans="1:10">
      <c r="A245">
        <v>5301</v>
      </c>
      <c r="B245" s="7" t="s">
        <v>211</v>
      </c>
      <c r="C245">
        <v>1</v>
      </c>
      <c r="D245">
        <v>126011196</v>
      </c>
      <c r="E245" s="8">
        <v>46030.727083333331</v>
      </c>
      <c r="F245" s="8">
        <v>46032.602083333331</v>
      </c>
      <c r="G245">
        <v>4</v>
      </c>
      <c r="H245">
        <v>2</v>
      </c>
      <c r="I245" t="str">
        <f t="shared" si="8"/>
        <v>63072026010800405301</v>
      </c>
      <c r="J245" t="str">
        <f>VLOOKUP(A245,Comuna_empresa!B:E,4,0)</f>
        <v>Los Andes</v>
      </c>
    </row>
    <row r="246" spans="1:10">
      <c r="A246">
        <v>5301</v>
      </c>
      <c r="B246" s="7" t="s">
        <v>212</v>
      </c>
      <c r="C246">
        <v>1</v>
      </c>
      <c r="D246">
        <v>126011197</v>
      </c>
      <c r="E246" s="8">
        <v>46030.727083333331</v>
      </c>
      <c r="F246" s="8">
        <v>46032.602083333331</v>
      </c>
      <c r="G246">
        <v>4</v>
      </c>
      <c r="H246">
        <v>2</v>
      </c>
      <c r="I246" t="str">
        <f t="shared" si="8"/>
        <v>63072026010800435301</v>
      </c>
      <c r="J246" t="str">
        <f>VLOOKUP(A246,Comuna_empresa!B:E,4,0)</f>
        <v>Los Andes</v>
      </c>
    </row>
    <row r="247" spans="1:10">
      <c r="A247">
        <v>5301</v>
      </c>
      <c r="B247" s="7" t="s">
        <v>213</v>
      </c>
      <c r="C247">
        <v>1</v>
      </c>
      <c r="D247">
        <v>126011198</v>
      </c>
      <c r="E247" s="8">
        <v>46030.727083333331</v>
      </c>
      <c r="F247" s="8">
        <v>46032.602083333331</v>
      </c>
      <c r="G247">
        <v>8</v>
      </c>
      <c r="H247">
        <v>2</v>
      </c>
      <c r="I247" t="str">
        <f t="shared" si="8"/>
        <v>63072026010800445301</v>
      </c>
      <c r="J247" t="str">
        <f>VLOOKUP(A247,Comuna_empresa!B:E,4,0)</f>
        <v>Los Andes</v>
      </c>
    </row>
    <row r="248" spans="1:10">
      <c r="A248">
        <v>5301</v>
      </c>
      <c r="B248" s="7" t="s">
        <v>214</v>
      </c>
      <c r="C248">
        <v>1</v>
      </c>
      <c r="D248">
        <v>126011199</v>
      </c>
      <c r="E248" s="8">
        <v>46030.727083333331</v>
      </c>
      <c r="F248" s="8">
        <v>46032.602083333331</v>
      </c>
      <c r="G248">
        <v>1</v>
      </c>
      <c r="H248">
        <v>2</v>
      </c>
      <c r="I248" t="str">
        <f t="shared" si="8"/>
        <v>63072026010800475301</v>
      </c>
      <c r="J248" t="str">
        <f>VLOOKUP(A248,Comuna_empresa!B:E,4,0)</f>
        <v>Los Andes</v>
      </c>
    </row>
    <row r="249" spans="1:10">
      <c r="A249">
        <v>5301</v>
      </c>
      <c r="B249" s="7" t="s">
        <v>215</v>
      </c>
      <c r="C249">
        <v>1</v>
      </c>
      <c r="D249">
        <v>126011200</v>
      </c>
      <c r="E249" s="8">
        <v>46030.727083333331</v>
      </c>
      <c r="F249" s="8">
        <v>46032.602083333331</v>
      </c>
      <c r="G249">
        <v>4</v>
      </c>
      <c r="H249">
        <v>2</v>
      </c>
      <c r="I249" t="str">
        <f t="shared" si="8"/>
        <v>63072026010800525301</v>
      </c>
      <c r="J249" t="str">
        <f>VLOOKUP(A249,Comuna_empresa!B:E,4,0)</f>
        <v>Los Andes</v>
      </c>
    </row>
    <row r="250" spans="1:10">
      <c r="A250">
        <v>5301</v>
      </c>
      <c r="B250" s="7" t="s">
        <v>216</v>
      </c>
      <c r="C250">
        <v>1</v>
      </c>
      <c r="D250">
        <v>126011201</v>
      </c>
      <c r="E250" s="8">
        <v>46030.727083333331</v>
      </c>
      <c r="F250" s="8">
        <v>46032.602083333331</v>
      </c>
      <c r="G250">
        <v>4</v>
      </c>
      <c r="H250">
        <v>2</v>
      </c>
      <c r="I250" t="str">
        <f t="shared" si="8"/>
        <v>63072026010800545301</v>
      </c>
      <c r="J250" t="str">
        <f>VLOOKUP(A250,Comuna_empresa!B:E,4,0)</f>
        <v>Los Andes</v>
      </c>
    </row>
    <row r="251" spans="1:10">
      <c r="A251">
        <v>5301</v>
      </c>
      <c r="B251" s="7" t="s">
        <v>216</v>
      </c>
      <c r="C251">
        <v>1</v>
      </c>
      <c r="D251">
        <v>126011202</v>
      </c>
      <c r="E251" s="8">
        <v>46030.727083333331</v>
      </c>
      <c r="F251" s="8">
        <v>46032.602083333331</v>
      </c>
      <c r="G251">
        <v>4</v>
      </c>
      <c r="H251">
        <v>2</v>
      </c>
      <c r="I251" t="str">
        <f t="shared" si="8"/>
        <v>63072026010800545301</v>
      </c>
      <c r="J251" t="str">
        <f>VLOOKUP(A251,Comuna_empresa!B:E,4,0)</f>
        <v>Los Andes</v>
      </c>
    </row>
    <row r="252" spans="1:10">
      <c r="A252">
        <v>5301</v>
      </c>
      <c r="B252" s="7" t="s">
        <v>217</v>
      </c>
      <c r="C252">
        <v>1</v>
      </c>
      <c r="D252">
        <v>126011203</v>
      </c>
      <c r="E252" s="8">
        <v>46030.727083333331</v>
      </c>
      <c r="F252" s="8">
        <v>46032.602083333331</v>
      </c>
      <c r="G252">
        <v>1</v>
      </c>
      <c r="H252">
        <v>2</v>
      </c>
      <c r="I252" t="str">
        <f t="shared" si="8"/>
        <v>63072026010800605301</v>
      </c>
      <c r="J252" t="str">
        <f>VLOOKUP(A252,Comuna_empresa!B:E,4,0)</f>
        <v>Los Andes</v>
      </c>
    </row>
    <row r="253" spans="1:10">
      <c r="A253">
        <v>5301</v>
      </c>
      <c r="B253" s="7" t="s">
        <v>218</v>
      </c>
      <c r="C253">
        <v>1</v>
      </c>
      <c r="D253">
        <v>126011204</v>
      </c>
      <c r="E253" s="8">
        <v>46030.727083333331</v>
      </c>
      <c r="F253" s="8">
        <v>46032.602083333331</v>
      </c>
      <c r="G253">
        <v>1</v>
      </c>
      <c r="H253">
        <v>2</v>
      </c>
      <c r="I253" t="str">
        <f t="shared" si="8"/>
        <v>63072026010800615301</v>
      </c>
      <c r="J253" t="str">
        <f>VLOOKUP(A253,Comuna_empresa!B:E,4,0)</f>
        <v>Los Andes</v>
      </c>
    </row>
    <row r="254" spans="1:10">
      <c r="A254">
        <v>5301</v>
      </c>
      <c r="B254" s="7" t="s">
        <v>219</v>
      </c>
      <c r="C254">
        <v>1</v>
      </c>
      <c r="D254">
        <v>126011205</v>
      </c>
      <c r="E254" s="8">
        <v>46030.727083333331</v>
      </c>
      <c r="F254" s="8">
        <v>46032.602083333331</v>
      </c>
      <c r="G254">
        <v>1</v>
      </c>
      <c r="H254">
        <v>2</v>
      </c>
      <c r="I254" t="str">
        <f t="shared" si="8"/>
        <v>63072026010800655301</v>
      </c>
      <c r="J254" t="str">
        <f>VLOOKUP(A254,Comuna_empresa!B:E,4,0)</f>
        <v>Los Andes</v>
      </c>
    </row>
    <row r="255" spans="1:10">
      <c r="A255">
        <v>5301</v>
      </c>
      <c r="B255" s="7" t="s">
        <v>220</v>
      </c>
      <c r="C255">
        <v>1</v>
      </c>
      <c r="D255">
        <v>126011206</v>
      </c>
      <c r="E255" s="8">
        <v>46030.727083333331</v>
      </c>
      <c r="F255" s="8">
        <v>46032.602083333331</v>
      </c>
      <c r="G255">
        <v>4</v>
      </c>
      <c r="H255">
        <v>2</v>
      </c>
      <c r="I255" t="str">
        <f t="shared" si="8"/>
        <v>63072026010800695301</v>
      </c>
      <c r="J255" t="str">
        <f>VLOOKUP(A255,Comuna_empresa!B:E,4,0)</f>
        <v>Los Andes</v>
      </c>
    </row>
    <row r="256" spans="1:10">
      <c r="A256">
        <v>5301</v>
      </c>
      <c r="B256" s="7" t="s">
        <v>221</v>
      </c>
      <c r="C256">
        <v>1</v>
      </c>
      <c r="D256">
        <v>126011207</v>
      </c>
      <c r="E256" s="8">
        <v>46030.727083333331</v>
      </c>
      <c r="F256" s="8">
        <v>46032.602083333331</v>
      </c>
      <c r="G256">
        <v>4</v>
      </c>
      <c r="H256">
        <v>2</v>
      </c>
      <c r="I256" t="str">
        <f t="shared" si="8"/>
        <v>63072026010800715301</v>
      </c>
      <c r="J256" t="str">
        <f>VLOOKUP(A256,Comuna_empresa!B:E,4,0)</f>
        <v>Los Andes</v>
      </c>
    </row>
    <row r="257" spans="1:10">
      <c r="A257">
        <v>5301</v>
      </c>
      <c r="B257" s="7" t="s">
        <v>222</v>
      </c>
      <c r="C257">
        <v>1</v>
      </c>
      <c r="D257">
        <v>126011208</v>
      </c>
      <c r="E257" s="8">
        <v>46030.727083333331</v>
      </c>
      <c r="F257" s="8">
        <v>46032.602083333331</v>
      </c>
      <c r="G257">
        <v>1</v>
      </c>
      <c r="H257">
        <v>2</v>
      </c>
      <c r="I257" t="str">
        <f t="shared" si="8"/>
        <v>63072026010800735301</v>
      </c>
      <c r="J257" t="str">
        <f>VLOOKUP(A257,Comuna_empresa!B:E,4,0)</f>
        <v>Los Andes</v>
      </c>
    </row>
    <row r="258" spans="1:10">
      <c r="A258">
        <v>5301</v>
      </c>
      <c r="B258" s="7" t="s">
        <v>223</v>
      </c>
      <c r="C258">
        <v>1</v>
      </c>
      <c r="D258">
        <v>126011209</v>
      </c>
      <c r="E258" s="8">
        <v>46030.727083333331</v>
      </c>
      <c r="F258" s="8">
        <v>46032.602083333331</v>
      </c>
      <c r="G258">
        <v>4</v>
      </c>
      <c r="H258">
        <v>2</v>
      </c>
      <c r="I258" t="str">
        <f t="shared" si="8"/>
        <v>63072026010800745301</v>
      </c>
      <c r="J258" t="str">
        <f>VLOOKUP(A258,Comuna_empresa!B:E,4,0)</f>
        <v>Los Andes</v>
      </c>
    </row>
    <row r="259" spans="1:10">
      <c r="A259">
        <v>5301</v>
      </c>
      <c r="B259" s="7" t="s">
        <v>224</v>
      </c>
      <c r="C259">
        <v>1</v>
      </c>
      <c r="D259">
        <v>126011210</v>
      </c>
      <c r="E259" s="8">
        <v>46030.727083333331</v>
      </c>
      <c r="F259" s="8">
        <v>46032.602083333331</v>
      </c>
      <c r="G259">
        <v>4</v>
      </c>
      <c r="H259">
        <v>2</v>
      </c>
      <c r="I259" t="str">
        <f t="shared" si="8"/>
        <v>63072026010800755301</v>
      </c>
      <c r="J259" t="str">
        <f>VLOOKUP(A259,Comuna_empresa!B:E,4,0)</f>
        <v>Los Andes</v>
      </c>
    </row>
    <row r="260" spans="1:10">
      <c r="A260">
        <v>5301</v>
      </c>
      <c r="B260" s="7" t="s">
        <v>225</v>
      </c>
      <c r="C260">
        <v>1</v>
      </c>
      <c r="D260">
        <v>126011211</v>
      </c>
      <c r="E260" s="8">
        <v>46030.727083333331</v>
      </c>
      <c r="F260" s="8">
        <v>46032.602083333331</v>
      </c>
      <c r="G260">
        <v>4</v>
      </c>
      <c r="H260">
        <v>2</v>
      </c>
      <c r="I260" t="str">
        <f t="shared" si="8"/>
        <v>63072026010800775301</v>
      </c>
      <c r="J260" t="str">
        <f>VLOOKUP(A260,Comuna_empresa!B:E,4,0)</f>
        <v>Los Andes</v>
      </c>
    </row>
    <row r="261" spans="1:10">
      <c r="A261">
        <v>5301</v>
      </c>
      <c r="B261" s="7" t="s">
        <v>226</v>
      </c>
      <c r="C261">
        <v>1</v>
      </c>
      <c r="D261">
        <v>126011212</v>
      </c>
      <c r="E261" s="8">
        <v>46030.727083333331</v>
      </c>
      <c r="F261" s="8">
        <v>46032.602083333331</v>
      </c>
      <c r="G261">
        <v>1</v>
      </c>
      <c r="H261">
        <v>2</v>
      </c>
      <c r="I261" t="str">
        <f t="shared" si="8"/>
        <v>63072026010800785301</v>
      </c>
      <c r="J261" t="str">
        <f>VLOOKUP(A261,Comuna_empresa!B:E,4,0)</f>
        <v>Los Andes</v>
      </c>
    </row>
    <row r="262" spans="1:10">
      <c r="A262">
        <v>5301</v>
      </c>
      <c r="B262" s="7" t="s">
        <v>227</v>
      </c>
      <c r="C262">
        <v>1</v>
      </c>
      <c r="D262">
        <v>126011213</v>
      </c>
      <c r="E262" s="8">
        <v>46030.727083333331</v>
      </c>
      <c r="F262" s="8">
        <v>46032.602083333331</v>
      </c>
      <c r="G262">
        <v>1</v>
      </c>
      <c r="H262">
        <v>2</v>
      </c>
      <c r="I262" t="str">
        <f t="shared" si="8"/>
        <v>63072026010800835301</v>
      </c>
      <c r="J262" t="str">
        <f>VLOOKUP(A262,Comuna_empresa!B:E,4,0)</f>
        <v>Los Andes</v>
      </c>
    </row>
    <row r="263" spans="1:10">
      <c r="A263">
        <v>5301</v>
      </c>
      <c r="B263" s="7" t="s">
        <v>228</v>
      </c>
      <c r="C263">
        <v>1</v>
      </c>
      <c r="D263">
        <v>126011214</v>
      </c>
      <c r="E263" s="8">
        <v>46030.727083333331</v>
      </c>
      <c r="F263" s="8">
        <v>46032.602083333331</v>
      </c>
      <c r="G263">
        <v>4</v>
      </c>
      <c r="H263">
        <v>2</v>
      </c>
      <c r="I263" t="str">
        <f t="shared" si="8"/>
        <v>63072026010800895301</v>
      </c>
      <c r="J263" t="str">
        <f>VLOOKUP(A263,Comuna_empresa!B:E,4,0)</f>
        <v>Los Andes</v>
      </c>
    </row>
    <row r="264" spans="1:10">
      <c r="A264">
        <v>5301</v>
      </c>
      <c r="B264" s="7" t="s">
        <v>229</v>
      </c>
      <c r="C264">
        <v>1</v>
      </c>
      <c r="D264">
        <v>126011215</v>
      </c>
      <c r="E264" s="8">
        <v>46030.727083333331</v>
      </c>
      <c r="F264" s="8">
        <v>46032.602083333331</v>
      </c>
      <c r="G264">
        <v>4</v>
      </c>
      <c r="H264">
        <v>2</v>
      </c>
      <c r="I264" t="str">
        <f t="shared" si="8"/>
        <v>63072026010800905301</v>
      </c>
      <c r="J264" t="str">
        <f>VLOOKUP(A264,Comuna_empresa!B:E,4,0)</f>
        <v>Los Andes</v>
      </c>
    </row>
    <row r="265" spans="1:10">
      <c r="A265">
        <v>5301</v>
      </c>
      <c r="B265" s="7" t="s">
        <v>230</v>
      </c>
      <c r="C265">
        <v>1</v>
      </c>
      <c r="D265">
        <v>126011216</v>
      </c>
      <c r="E265" s="8">
        <v>46030.727083333331</v>
      </c>
      <c r="F265" s="8">
        <v>46032.602083333331</v>
      </c>
      <c r="G265">
        <v>1</v>
      </c>
      <c r="H265">
        <v>2</v>
      </c>
      <c r="I265" t="str">
        <f t="shared" si="8"/>
        <v>63072026010800915301</v>
      </c>
      <c r="J265" t="str">
        <f>VLOOKUP(A265,Comuna_empresa!B:E,4,0)</f>
        <v>Los Andes</v>
      </c>
    </row>
    <row r="266" spans="1:10">
      <c r="A266">
        <v>5301</v>
      </c>
      <c r="B266" s="7" t="s">
        <v>231</v>
      </c>
      <c r="C266">
        <v>1</v>
      </c>
      <c r="D266">
        <v>126011217</v>
      </c>
      <c r="E266" s="8">
        <v>46030.727083333331</v>
      </c>
      <c r="F266" s="8">
        <v>46032.602083333331</v>
      </c>
      <c r="G266">
        <v>1</v>
      </c>
      <c r="H266">
        <v>2</v>
      </c>
      <c r="I266" t="str">
        <f t="shared" si="8"/>
        <v>63072026010800925301</v>
      </c>
      <c r="J266" t="str">
        <f>VLOOKUP(A266,Comuna_empresa!B:E,4,0)</f>
        <v>Los Andes</v>
      </c>
    </row>
    <row r="267" spans="1:10">
      <c r="A267">
        <v>5301</v>
      </c>
      <c r="B267" s="7" t="s">
        <v>232</v>
      </c>
      <c r="C267">
        <v>1</v>
      </c>
      <c r="D267">
        <v>126011218</v>
      </c>
      <c r="E267" s="8">
        <v>46030.727083333331</v>
      </c>
      <c r="F267" s="8">
        <v>46032.602083333331</v>
      </c>
      <c r="G267">
        <v>4</v>
      </c>
      <c r="H267">
        <v>2</v>
      </c>
      <c r="I267" t="str">
        <f t="shared" si="8"/>
        <v>63072026010800955301</v>
      </c>
      <c r="J267" t="str">
        <f>VLOOKUP(A267,Comuna_empresa!B:E,4,0)</f>
        <v>Los Andes</v>
      </c>
    </row>
    <row r="268" spans="1:10">
      <c r="A268">
        <v>5301</v>
      </c>
      <c r="B268" s="7" t="s">
        <v>233</v>
      </c>
      <c r="C268">
        <v>1</v>
      </c>
      <c r="D268">
        <v>126011219</v>
      </c>
      <c r="E268" s="8">
        <v>46030.727083333331</v>
      </c>
      <c r="F268" s="8">
        <v>46032.602083333331</v>
      </c>
      <c r="G268">
        <v>4</v>
      </c>
      <c r="H268">
        <v>2</v>
      </c>
      <c r="I268" t="str">
        <f t="shared" si="8"/>
        <v>63072026010800995301</v>
      </c>
      <c r="J268" t="str">
        <f>VLOOKUP(A268,Comuna_empresa!B:E,4,0)</f>
        <v>Los Andes</v>
      </c>
    </row>
    <row r="269" spans="1:10">
      <c r="A269">
        <v>5301</v>
      </c>
      <c r="B269" s="7" t="s">
        <v>234</v>
      </c>
      <c r="C269">
        <v>1</v>
      </c>
      <c r="D269">
        <v>126011220</v>
      </c>
      <c r="E269" s="8">
        <v>46030.727083333331</v>
      </c>
      <c r="F269" s="8">
        <v>46032.602083333331</v>
      </c>
      <c r="G269">
        <v>1</v>
      </c>
      <c r="H269">
        <v>2</v>
      </c>
      <c r="I269" t="str">
        <f t="shared" si="8"/>
        <v>63072026010801035301</v>
      </c>
      <c r="J269" t="str">
        <f>VLOOKUP(A269,Comuna_empresa!B:E,4,0)</f>
        <v>Los Andes</v>
      </c>
    </row>
    <row r="270" spans="1:10">
      <c r="A270">
        <v>5301</v>
      </c>
      <c r="B270" s="7" t="s">
        <v>235</v>
      </c>
      <c r="C270">
        <v>1</v>
      </c>
      <c r="D270">
        <v>126011221</v>
      </c>
      <c r="E270" s="8">
        <v>46030.727083333331</v>
      </c>
      <c r="F270" s="8">
        <v>46032.602083333331</v>
      </c>
      <c r="G270">
        <v>1</v>
      </c>
      <c r="H270">
        <v>2</v>
      </c>
      <c r="I270" t="str">
        <f t="shared" si="8"/>
        <v>63072026010801055301</v>
      </c>
      <c r="J270" t="str">
        <f>VLOOKUP(A270,Comuna_empresa!B:E,4,0)</f>
        <v>Los Andes</v>
      </c>
    </row>
    <row r="271" spans="1:10">
      <c r="A271">
        <v>5301</v>
      </c>
      <c r="B271" s="7" t="s">
        <v>236</v>
      </c>
      <c r="C271">
        <v>1</v>
      </c>
      <c r="D271">
        <v>126011222</v>
      </c>
      <c r="E271" s="8">
        <v>46030.727083333331</v>
      </c>
      <c r="F271" s="8">
        <v>46032.602083333331</v>
      </c>
      <c r="G271">
        <v>1</v>
      </c>
      <c r="H271">
        <v>2</v>
      </c>
      <c r="I271" t="str">
        <f t="shared" si="8"/>
        <v>63072026010801105301</v>
      </c>
      <c r="J271" t="str">
        <f>VLOOKUP(A271,Comuna_empresa!B:E,4,0)</f>
        <v>Los Andes</v>
      </c>
    </row>
    <row r="272" spans="1:10">
      <c r="A272">
        <v>5301</v>
      </c>
      <c r="B272" s="7" t="s">
        <v>237</v>
      </c>
      <c r="C272">
        <v>1</v>
      </c>
      <c r="D272">
        <v>126011223</v>
      </c>
      <c r="E272" s="8">
        <v>46030.727083333331</v>
      </c>
      <c r="F272" s="8">
        <v>46032.602083333331</v>
      </c>
      <c r="G272">
        <v>4</v>
      </c>
      <c r="H272">
        <v>2</v>
      </c>
      <c r="I272" t="str">
        <f t="shared" si="8"/>
        <v>63072026010801115301</v>
      </c>
      <c r="J272" t="str">
        <f>VLOOKUP(A272,Comuna_empresa!B:E,4,0)</f>
        <v>Los Andes</v>
      </c>
    </row>
    <row r="273" spans="1:10">
      <c r="A273">
        <v>5301</v>
      </c>
      <c r="B273" s="7" t="s">
        <v>238</v>
      </c>
      <c r="C273">
        <v>1</v>
      </c>
      <c r="D273">
        <v>126011224</v>
      </c>
      <c r="E273" s="8">
        <v>46030.727083333331</v>
      </c>
      <c r="F273" s="8">
        <v>46032.602083333331</v>
      </c>
      <c r="G273">
        <v>4</v>
      </c>
      <c r="H273">
        <v>2</v>
      </c>
      <c r="I273" t="str">
        <f t="shared" si="8"/>
        <v>63072026010801155301</v>
      </c>
      <c r="J273" t="str">
        <f>VLOOKUP(A273,Comuna_empresa!B:E,4,0)</f>
        <v>Los Andes</v>
      </c>
    </row>
    <row r="274" spans="1:10">
      <c r="A274">
        <v>5301</v>
      </c>
      <c r="B274" s="7" t="s">
        <v>239</v>
      </c>
      <c r="C274">
        <v>1</v>
      </c>
      <c r="D274">
        <v>126011225</v>
      </c>
      <c r="E274" s="8">
        <v>46030.727083333331</v>
      </c>
      <c r="F274" s="8">
        <v>46032.602083333331</v>
      </c>
      <c r="G274">
        <v>4</v>
      </c>
      <c r="H274">
        <v>2</v>
      </c>
      <c r="I274" t="str">
        <f t="shared" si="8"/>
        <v>63072026010801185301</v>
      </c>
      <c r="J274" t="str">
        <f>VLOOKUP(A274,Comuna_empresa!B:E,4,0)</f>
        <v>Los Andes</v>
      </c>
    </row>
    <row r="275" spans="1:10">
      <c r="A275">
        <v>5301</v>
      </c>
      <c r="B275" s="7" t="s">
        <v>240</v>
      </c>
      <c r="C275">
        <v>1</v>
      </c>
      <c r="D275">
        <v>126011226</v>
      </c>
      <c r="E275" s="8">
        <v>46030.727083333331</v>
      </c>
      <c r="F275" s="8">
        <v>46032.602083333331</v>
      </c>
      <c r="G275">
        <v>4</v>
      </c>
      <c r="H275">
        <v>2</v>
      </c>
      <c r="I275" t="str">
        <f t="shared" ref="I275:I300" si="9">"6307"&amp;MID(B275,7,18)&amp;A275</f>
        <v>63072026010801195301</v>
      </c>
      <c r="J275" t="str">
        <f>VLOOKUP(A275,Comuna_empresa!B:E,4,0)</f>
        <v>Los Andes</v>
      </c>
    </row>
    <row r="276" spans="1:10">
      <c r="A276">
        <v>5301</v>
      </c>
      <c r="B276" s="7" t="s">
        <v>241</v>
      </c>
      <c r="C276">
        <v>1</v>
      </c>
      <c r="D276">
        <v>126011227</v>
      </c>
      <c r="E276" s="8">
        <v>46030.727083333331</v>
      </c>
      <c r="F276" s="8">
        <v>46032.602083333331</v>
      </c>
      <c r="G276">
        <v>4</v>
      </c>
      <c r="H276">
        <v>2</v>
      </c>
      <c r="I276" t="str">
        <f t="shared" si="9"/>
        <v>63072026010801225301</v>
      </c>
      <c r="J276" t="str">
        <f>VLOOKUP(A276,Comuna_empresa!B:E,4,0)</f>
        <v>Los Andes</v>
      </c>
    </row>
    <row r="277" spans="1:10">
      <c r="A277">
        <v>5301</v>
      </c>
      <c r="B277" s="7" t="s">
        <v>242</v>
      </c>
      <c r="C277">
        <v>1</v>
      </c>
      <c r="D277">
        <v>126011228</v>
      </c>
      <c r="E277" s="8">
        <v>46030.727083333331</v>
      </c>
      <c r="F277" s="8">
        <v>46032.602083333331</v>
      </c>
      <c r="G277">
        <v>1</v>
      </c>
      <c r="H277">
        <v>2</v>
      </c>
      <c r="I277" t="str">
        <f t="shared" si="9"/>
        <v>63072026010801235301</v>
      </c>
      <c r="J277" t="str">
        <f>VLOOKUP(A277,Comuna_empresa!B:E,4,0)</f>
        <v>Los Andes</v>
      </c>
    </row>
    <row r="278" spans="1:10">
      <c r="A278">
        <v>5301</v>
      </c>
      <c r="B278" s="7" t="s">
        <v>243</v>
      </c>
      <c r="C278">
        <v>1</v>
      </c>
      <c r="D278">
        <v>126011229</v>
      </c>
      <c r="E278" s="8">
        <v>46030.727083333331</v>
      </c>
      <c r="F278" s="8">
        <v>46032.602083333331</v>
      </c>
      <c r="G278">
        <v>1</v>
      </c>
      <c r="H278">
        <v>2</v>
      </c>
      <c r="I278" t="str">
        <f t="shared" si="9"/>
        <v>63072026010801245301</v>
      </c>
      <c r="J278" t="str">
        <f>VLOOKUP(A278,Comuna_empresa!B:E,4,0)</f>
        <v>Los Andes</v>
      </c>
    </row>
    <row r="279" spans="1:10">
      <c r="A279">
        <v>5301</v>
      </c>
      <c r="B279" s="7" t="s">
        <v>244</v>
      </c>
      <c r="C279">
        <v>1</v>
      </c>
      <c r="D279">
        <v>126011230</v>
      </c>
      <c r="E279" s="8">
        <v>46030.727083333331</v>
      </c>
      <c r="F279" s="8">
        <v>46032.602083333331</v>
      </c>
      <c r="G279">
        <v>4</v>
      </c>
      <c r="H279">
        <v>2</v>
      </c>
      <c r="I279" t="str">
        <f t="shared" si="9"/>
        <v>63072026010801275301</v>
      </c>
      <c r="J279" t="str">
        <f>VLOOKUP(A279,Comuna_empresa!B:E,4,0)</f>
        <v>Los Andes</v>
      </c>
    </row>
    <row r="280" spans="1:10">
      <c r="A280">
        <v>5301</v>
      </c>
      <c r="B280" s="7" t="s">
        <v>245</v>
      </c>
      <c r="C280">
        <v>1</v>
      </c>
      <c r="D280">
        <v>126011231</v>
      </c>
      <c r="E280" s="8">
        <v>46030.727083333331</v>
      </c>
      <c r="F280" s="8">
        <v>46032.602083333331</v>
      </c>
      <c r="G280">
        <v>4</v>
      </c>
      <c r="H280">
        <v>2</v>
      </c>
      <c r="I280" t="str">
        <f t="shared" si="9"/>
        <v>63072026010801295301</v>
      </c>
      <c r="J280" t="str">
        <f>VLOOKUP(A280,Comuna_empresa!B:E,4,0)</f>
        <v>Los Andes</v>
      </c>
    </row>
    <row r="281" spans="1:10">
      <c r="A281">
        <v>5301</v>
      </c>
      <c r="B281" s="7" t="s">
        <v>246</v>
      </c>
      <c r="C281">
        <v>1</v>
      </c>
      <c r="D281">
        <v>126011232</v>
      </c>
      <c r="E281" s="8">
        <v>46030.727083333331</v>
      </c>
      <c r="F281" s="8">
        <v>46032.602083333331</v>
      </c>
      <c r="G281">
        <v>1</v>
      </c>
      <c r="H281">
        <v>2</v>
      </c>
      <c r="I281" t="str">
        <f t="shared" si="9"/>
        <v>63072026010801315301</v>
      </c>
      <c r="J281" t="str">
        <f>VLOOKUP(A281,Comuna_empresa!B:E,4,0)</f>
        <v>Los Andes</v>
      </c>
    </row>
    <row r="282" spans="1:10">
      <c r="A282">
        <v>5301</v>
      </c>
      <c r="B282" s="7" t="s">
        <v>247</v>
      </c>
      <c r="C282">
        <v>1</v>
      </c>
      <c r="D282">
        <v>126011235</v>
      </c>
      <c r="E282" s="8">
        <v>46030.727083333331</v>
      </c>
      <c r="F282" s="8">
        <v>46032.602083333331</v>
      </c>
      <c r="G282">
        <v>4</v>
      </c>
      <c r="H282">
        <v>2</v>
      </c>
      <c r="I282" t="str">
        <f t="shared" si="9"/>
        <v>63072026010801335301</v>
      </c>
      <c r="J282" t="str">
        <f>VLOOKUP(A282,Comuna_empresa!B:E,4,0)</f>
        <v>Los Andes</v>
      </c>
    </row>
    <row r="283" spans="1:10">
      <c r="A283">
        <v>5301</v>
      </c>
      <c r="B283" s="7" t="s">
        <v>248</v>
      </c>
      <c r="C283">
        <v>1</v>
      </c>
      <c r="D283">
        <v>126011236</v>
      </c>
      <c r="E283" s="8">
        <v>46030.727083333331</v>
      </c>
      <c r="F283" s="8">
        <v>46032.602083333331</v>
      </c>
      <c r="G283">
        <v>4</v>
      </c>
      <c r="H283">
        <v>2</v>
      </c>
      <c r="I283" t="str">
        <f t="shared" si="9"/>
        <v>63072026010801355301</v>
      </c>
      <c r="J283" t="str">
        <f>VLOOKUP(A283,Comuna_empresa!B:E,4,0)</f>
        <v>Los Andes</v>
      </c>
    </row>
    <row r="284" spans="1:10">
      <c r="A284">
        <v>5301</v>
      </c>
      <c r="B284" s="7" t="s">
        <v>248</v>
      </c>
      <c r="C284">
        <v>1</v>
      </c>
      <c r="D284">
        <v>126011237</v>
      </c>
      <c r="E284" s="8">
        <v>46030.727083333331</v>
      </c>
      <c r="F284" s="8">
        <v>46032.602083333331</v>
      </c>
      <c r="G284">
        <v>4</v>
      </c>
      <c r="H284">
        <v>2</v>
      </c>
      <c r="I284" t="str">
        <f t="shared" si="9"/>
        <v>63072026010801355301</v>
      </c>
      <c r="J284" t="str">
        <f>VLOOKUP(A284,Comuna_empresa!B:E,4,0)</f>
        <v>Los Andes</v>
      </c>
    </row>
    <row r="285" spans="1:10">
      <c r="A285">
        <v>5301</v>
      </c>
      <c r="B285" s="7" t="s">
        <v>248</v>
      </c>
      <c r="C285">
        <v>1</v>
      </c>
      <c r="D285">
        <v>126011238</v>
      </c>
      <c r="E285" s="8">
        <v>46030.727083333331</v>
      </c>
      <c r="F285" s="8">
        <v>46032.602083333331</v>
      </c>
      <c r="G285">
        <v>4</v>
      </c>
      <c r="H285">
        <v>2</v>
      </c>
      <c r="I285" t="str">
        <f t="shared" si="9"/>
        <v>63072026010801355301</v>
      </c>
      <c r="J285" t="str">
        <f>VLOOKUP(A285,Comuna_empresa!B:E,4,0)</f>
        <v>Los Andes</v>
      </c>
    </row>
    <row r="286" spans="1:10">
      <c r="A286">
        <v>5301</v>
      </c>
      <c r="B286" s="7" t="s">
        <v>249</v>
      </c>
      <c r="C286">
        <v>1</v>
      </c>
      <c r="D286">
        <v>126011241</v>
      </c>
      <c r="E286" s="8">
        <v>46030.727083333331</v>
      </c>
      <c r="F286" s="8">
        <v>46032.602083333331</v>
      </c>
      <c r="G286">
        <v>4</v>
      </c>
      <c r="H286">
        <v>2</v>
      </c>
      <c r="I286" t="str">
        <f t="shared" si="9"/>
        <v>63072026010801395301</v>
      </c>
      <c r="J286" t="str">
        <f>VLOOKUP(A286,Comuna_empresa!B:E,4,0)</f>
        <v>Los Andes</v>
      </c>
    </row>
    <row r="287" spans="1:10">
      <c r="A287">
        <v>5301</v>
      </c>
      <c r="B287" s="7" t="s">
        <v>250</v>
      </c>
      <c r="C287">
        <v>1</v>
      </c>
      <c r="D287">
        <v>126011242</v>
      </c>
      <c r="E287" s="8">
        <v>46030.727083333331</v>
      </c>
      <c r="F287" s="8">
        <v>46032.602083333331</v>
      </c>
      <c r="G287">
        <v>1</v>
      </c>
      <c r="H287">
        <v>2</v>
      </c>
      <c r="I287" t="str">
        <f t="shared" si="9"/>
        <v>63072026010900025301</v>
      </c>
      <c r="J287" t="str">
        <f>VLOOKUP(A287,Comuna_empresa!B:E,4,0)</f>
        <v>Los Andes</v>
      </c>
    </row>
    <row r="288" spans="1:10">
      <c r="A288">
        <v>5301</v>
      </c>
      <c r="B288" s="7" t="s">
        <v>251</v>
      </c>
      <c r="C288">
        <v>1</v>
      </c>
      <c r="D288">
        <v>126011243</v>
      </c>
      <c r="E288" s="8">
        <v>46030.727083333331</v>
      </c>
      <c r="F288" s="8">
        <v>46032.602083333331</v>
      </c>
      <c r="G288">
        <v>1</v>
      </c>
      <c r="H288">
        <v>2</v>
      </c>
      <c r="I288" t="str">
        <f t="shared" si="9"/>
        <v>63072026010900125301</v>
      </c>
      <c r="J288" t="str">
        <f>VLOOKUP(A288,Comuna_empresa!B:E,4,0)</f>
        <v>Los Andes</v>
      </c>
    </row>
    <row r="289" spans="1:10">
      <c r="A289">
        <v>5301</v>
      </c>
      <c r="B289" s="7" t="s">
        <v>252</v>
      </c>
      <c r="C289">
        <v>1</v>
      </c>
      <c r="D289">
        <v>126011244</v>
      </c>
      <c r="E289" s="8">
        <v>46030.727083333331</v>
      </c>
      <c r="F289" s="8">
        <v>46032.602083333331</v>
      </c>
      <c r="G289">
        <v>1</v>
      </c>
      <c r="H289">
        <v>2</v>
      </c>
      <c r="I289" t="str">
        <f t="shared" si="9"/>
        <v>63072026010900295301</v>
      </c>
      <c r="J289" t="str">
        <f>VLOOKUP(A289,Comuna_empresa!B:E,4,0)</f>
        <v>Los Andes</v>
      </c>
    </row>
    <row r="290" spans="1:10">
      <c r="A290">
        <v>5301</v>
      </c>
      <c r="B290" s="7" t="s">
        <v>253</v>
      </c>
      <c r="C290">
        <v>1</v>
      </c>
      <c r="D290">
        <v>126011245</v>
      </c>
      <c r="E290" s="8">
        <v>46030.727083333331</v>
      </c>
      <c r="F290" s="8">
        <v>46032.602083333331</v>
      </c>
      <c r="G290">
        <v>1</v>
      </c>
      <c r="H290">
        <v>2</v>
      </c>
      <c r="I290" t="str">
        <f t="shared" si="9"/>
        <v>63072026010900445301</v>
      </c>
      <c r="J290" t="str">
        <f>VLOOKUP(A290,Comuna_empresa!B:E,4,0)</f>
        <v>Los Andes</v>
      </c>
    </row>
    <row r="291" spans="1:10">
      <c r="A291">
        <v>5301</v>
      </c>
      <c r="B291" s="7" t="s">
        <v>254</v>
      </c>
      <c r="C291">
        <v>1</v>
      </c>
      <c r="D291">
        <v>126011246</v>
      </c>
      <c r="E291" s="8">
        <v>46030.727083333331</v>
      </c>
      <c r="F291" s="8">
        <v>46032.602083333331</v>
      </c>
      <c r="G291">
        <v>1</v>
      </c>
      <c r="H291">
        <v>2</v>
      </c>
      <c r="I291" t="str">
        <f t="shared" si="9"/>
        <v>63072026010900475301</v>
      </c>
      <c r="J291" t="str">
        <f>VLOOKUP(A291,Comuna_empresa!B:E,4,0)</f>
        <v>Los Andes</v>
      </c>
    </row>
    <row r="292" spans="1:10">
      <c r="A292">
        <v>5301</v>
      </c>
      <c r="B292" s="7" t="s">
        <v>255</v>
      </c>
      <c r="C292">
        <v>1</v>
      </c>
      <c r="D292">
        <v>126011247</v>
      </c>
      <c r="E292" s="8">
        <v>46030.727083333331</v>
      </c>
      <c r="F292" s="8">
        <v>46032.602083333331</v>
      </c>
      <c r="G292">
        <v>1</v>
      </c>
      <c r="H292">
        <v>2</v>
      </c>
      <c r="I292" t="str">
        <f t="shared" si="9"/>
        <v>63072026010900505301</v>
      </c>
      <c r="J292" t="str">
        <f>VLOOKUP(A292,Comuna_empresa!B:E,4,0)</f>
        <v>Los Andes</v>
      </c>
    </row>
    <row r="293" spans="1:10">
      <c r="A293">
        <v>5301</v>
      </c>
      <c r="B293" s="7" t="s">
        <v>256</v>
      </c>
      <c r="C293">
        <v>1</v>
      </c>
      <c r="D293">
        <v>126011248</v>
      </c>
      <c r="E293" s="8">
        <v>46030.727083333331</v>
      </c>
      <c r="F293" s="8">
        <v>46032.602083333331</v>
      </c>
      <c r="G293">
        <v>1</v>
      </c>
      <c r="H293">
        <v>2</v>
      </c>
      <c r="I293" t="str">
        <f t="shared" si="9"/>
        <v>63072026010900655301</v>
      </c>
      <c r="J293" t="str">
        <f>VLOOKUP(A293,Comuna_empresa!B:E,4,0)</f>
        <v>Los Andes</v>
      </c>
    </row>
    <row r="294" spans="1:10">
      <c r="A294">
        <v>5301</v>
      </c>
      <c r="B294" s="7" t="s">
        <v>257</v>
      </c>
      <c r="C294">
        <v>1</v>
      </c>
      <c r="D294">
        <v>126011249</v>
      </c>
      <c r="E294" s="8">
        <v>46030.727083333331</v>
      </c>
      <c r="F294" s="8">
        <v>46032.602083333331</v>
      </c>
      <c r="G294">
        <v>1</v>
      </c>
      <c r="H294">
        <v>2</v>
      </c>
      <c r="I294" t="str">
        <f t="shared" si="9"/>
        <v>63072026010900705301</v>
      </c>
      <c r="J294" t="str">
        <f>VLOOKUP(A294,Comuna_empresa!B:E,4,0)</f>
        <v>Los Andes</v>
      </c>
    </row>
    <row r="295" spans="1:10">
      <c r="A295">
        <v>5301</v>
      </c>
      <c r="B295" s="7" t="s">
        <v>258</v>
      </c>
      <c r="C295">
        <v>1</v>
      </c>
      <c r="D295">
        <v>126011250</v>
      </c>
      <c r="E295" s="8">
        <v>46030.727083333331</v>
      </c>
      <c r="F295" s="8">
        <v>46032.602083333331</v>
      </c>
      <c r="G295">
        <v>1</v>
      </c>
      <c r="H295">
        <v>2</v>
      </c>
      <c r="I295" t="str">
        <f t="shared" si="9"/>
        <v>63072026010900765301</v>
      </c>
      <c r="J295" t="str">
        <f>VLOOKUP(A295,Comuna_empresa!B:E,4,0)</f>
        <v>Los Andes</v>
      </c>
    </row>
    <row r="296" spans="1:10">
      <c r="A296">
        <v>5301</v>
      </c>
      <c r="B296" s="7" t="s">
        <v>259</v>
      </c>
      <c r="C296">
        <v>1</v>
      </c>
      <c r="D296">
        <v>126011251</v>
      </c>
      <c r="E296" s="8">
        <v>46030.727083333331</v>
      </c>
      <c r="F296" s="8">
        <v>46032.602083333331</v>
      </c>
      <c r="G296">
        <v>4</v>
      </c>
      <c r="H296">
        <v>2</v>
      </c>
      <c r="I296" t="str">
        <f t="shared" si="9"/>
        <v>63072026010900805301</v>
      </c>
      <c r="J296" t="str">
        <f>VLOOKUP(A296,Comuna_empresa!B:E,4,0)</f>
        <v>Los Andes</v>
      </c>
    </row>
    <row r="297" spans="1:10">
      <c r="A297">
        <v>5301</v>
      </c>
      <c r="B297" s="7" t="s">
        <v>260</v>
      </c>
      <c r="C297">
        <v>1</v>
      </c>
      <c r="D297">
        <v>126011252</v>
      </c>
      <c r="E297" s="8">
        <v>46030.727083333331</v>
      </c>
      <c r="F297" s="8">
        <v>46032.602083333331</v>
      </c>
      <c r="G297">
        <v>1</v>
      </c>
      <c r="H297">
        <v>2</v>
      </c>
      <c r="I297" t="str">
        <f t="shared" si="9"/>
        <v>63072026010900815301</v>
      </c>
      <c r="J297" t="str">
        <f>VLOOKUP(A297,Comuna_empresa!B:E,4,0)</f>
        <v>Los Andes</v>
      </c>
    </row>
    <row r="298" spans="1:10">
      <c r="A298">
        <v>5301</v>
      </c>
      <c r="B298" s="7" t="s">
        <v>261</v>
      </c>
      <c r="C298">
        <v>1</v>
      </c>
      <c r="D298">
        <v>126011253</v>
      </c>
      <c r="E298" s="8">
        <v>46030.727083333331</v>
      </c>
      <c r="F298" s="8">
        <v>46032.602083333331</v>
      </c>
      <c r="G298">
        <v>1</v>
      </c>
      <c r="H298">
        <v>2</v>
      </c>
      <c r="I298" t="str">
        <f t="shared" si="9"/>
        <v>63072026010900855301</v>
      </c>
      <c r="J298" t="str">
        <f>VLOOKUP(A298,Comuna_empresa!B:E,4,0)</f>
        <v>Los Andes</v>
      </c>
    </row>
    <row r="299" spans="1:10">
      <c r="A299">
        <v>5301</v>
      </c>
      <c r="B299" s="7" t="s">
        <v>262</v>
      </c>
      <c r="C299">
        <v>1</v>
      </c>
      <c r="D299">
        <v>126011255</v>
      </c>
      <c r="E299" s="8">
        <v>46030.727083333331</v>
      </c>
      <c r="F299" s="8">
        <v>46032.602083333331</v>
      </c>
      <c r="G299">
        <v>1</v>
      </c>
      <c r="H299">
        <v>2</v>
      </c>
      <c r="I299" t="str">
        <f t="shared" si="9"/>
        <v>63072026011000285301</v>
      </c>
      <c r="J299" t="str">
        <f>VLOOKUP(A299,Comuna_empresa!B:E,4,0)</f>
        <v>Los Andes</v>
      </c>
    </row>
    <row r="300" spans="1:10">
      <c r="A300">
        <v>5301</v>
      </c>
      <c r="B300" s="7" t="s">
        <v>263</v>
      </c>
      <c r="C300">
        <v>1</v>
      </c>
      <c r="D300">
        <v>126011257</v>
      </c>
      <c r="E300" s="8">
        <v>46030.727083333331</v>
      </c>
      <c r="F300" s="8">
        <v>46032.602083333331</v>
      </c>
      <c r="G300">
        <v>1</v>
      </c>
      <c r="H300">
        <v>2</v>
      </c>
      <c r="I300" t="str">
        <f t="shared" si="9"/>
        <v>63072026011000395301</v>
      </c>
      <c r="J300" t="str">
        <f>VLOOKUP(A300,Comuna_empresa!B:E,4,0)</f>
        <v>Los Andes</v>
      </c>
    </row>
    <row r="301" spans="1:10">
      <c r="A301">
        <v>5301</v>
      </c>
      <c r="B301" s="7" t="s">
        <v>266</v>
      </c>
      <c r="C301">
        <v>1</v>
      </c>
      <c r="D301">
        <v>126011340</v>
      </c>
      <c r="E301" s="8">
        <v>46051.431944444441</v>
      </c>
      <c r="F301" s="8">
        <v>46053.306944444441</v>
      </c>
      <c r="G301">
        <v>4</v>
      </c>
      <c r="H301">
        <v>2</v>
      </c>
      <c r="I301" t="str">
        <f t="shared" ref="I301:I306" si="10">"6307"&amp;MID(B301,7,18)&amp;A301</f>
        <v>63072026012900085301</v>
      </c>
      <c r="J301" t="str">
        <f>VLOOKUP(A301,Comuna_empresa!B:E,4,0)</f>
        <v>Los Andes</v>
      </c>
    </row>
    <row r="302" spans="1:10">
      <c r="A302">
        <v>5301</v>
      </c>
      <c r="B302" s="7" t="s">
        <v>267</v>
      </c>
      <c r="C302">
        <v>1</v>
      </c>
      <c r="D302">
        <v>126011341</v>
      </c>
      <c r="E302" s="8">
        <v>46051.431944444441</v>
      </c>
      <c r="F302" s="8">
        <v>46053.306944444441</v>
      </c>
      <c r="G302">
        <v>1</v>
      </c>
      <c r="H302">
        <v>2</v>
      </c>
      <c r="I302" t="str">
        <f t="shared" si="10"/>
        <v>63072026012900515301</v>
      </c>
      <c r="J302" t="str">
        <f>VLOOKUP(A302,Comuna_empresa!B:E,4,0)</f>
        <v>Los Andes</v>
      </c>
    </row>
    <row r="303" spans="1:10">
      <c r="A303">
        <v>5301</v>
      </c>
      <c r="B303" s="7" t="s">
        <v>268</v>
      </c>
      <c r="C303">
        <v>1</v>
      </c>
      <c r="D303">
        <v>126011342</v>
      </c>
      <c r="E303" s="8">
        <v>46051.431944444441</v>
      </c>
      <c r="F303" s="8">
        <v>46053.306944444441</v>
      </c>
      <c r="G303">
        <v>1</v>
      </c>
      <c r="H303">
        <v>2</v>
      </c>
      <c r="I303" t="str">
        <f t="shared" si="10"/>
        <v>63072026012900645301</v>
      </c>
      <c r="J303" t="str">
        <f>VLOOKUP(A303,Comuna_empresa!B:E,4,0)</f>
        <v>Los Andes</v>
      </c>
    </row>
    <row r="304" spans="1:10">
      <c r="A304">
        <v>5301</v>
      </c>
      <c r="B304" s="7" t="s">
        <v>269</v>
      </c>
      <c r="C304">
        <v>1</v>
      </c>
      <c r="D304">
        <v>126011343</v>
      </c>
      <c r="E304" s="8">
        <v>46051.431944444441</v>
      </c>
      <c r="F304" s="8">
        <v>46053.306944444441</v>
      </c>
      <c r="G304">
        <v>1</v>
      </c>
      <c r="H304">
        <v>2</v>
      </c>
      <c r="I304" t="str">
        <f t="shared" si="10"/>
        <v>63072026012900735301</v>
      </c>
      <c r="J304" t="str">
        <f>VLOOKUP(A304,Comuna_empresa!B:E,4,0)</f>
        <v>Los Andes</v>
      </c>
    </row>
    <row r="305" spans="1:10">
      <c r="A305">
        <v>5301</v>
      </c>
      <c r="B305" s="7" t="s">
        <v>270</v>
      </c>
      <c r="C305">
        <v>1</v>
      </c>
      <c r="D305">
        <v>126011344</v>
      </c>
      <c r="E305" s="8">
        <v>46051.431944444441</v>
      </c>
      <c r="F305" s="8">
        <v>46053.306944444441</v>
      </c>
      <c r="G305">
        <v>1</v>
      </c>
      <c r="H305">
        <v>2</v>
      </c>
      <c r="I305" t="str">
        <f t="shared" si="10"/>
        <v>63072026013000105301</v>
      </c>
      <c r="J305" t="str">
        <f>VLOOKUP(A305,Comuna_empresa!B:E,4,0)</f>
        <v>Los Andes</v>
      </c>
    </row>
    <row r="306" spans="1:10">
      <c r="A306">
        <v>5301</v>
      </c>
      <c r="B306" s="7" t="s">
        <v>271</v>
      </c>
      <c r="C306">
        <v>1</v>
      </c>
      <c r="D306">
        <v>126011345</v>
      </c>
      <c r="E306" s="8">
        <v>46051.431944444441</v>
      </c>
      <c r="F306" s="8">
        <v>46053.306944444441</v>
      </c>
      <c r="G306">
        <v>1</v>
      </c>
      <c r="H306">
        <v>2</v>
      </c>
      <c r="I306" t="str">
        <f t="shared" si="10"/>
        <v>63072026013000405301</v>
      </c>
      <c r="J306" t="str">
        <f>VLOOKUP(A306,Comuna_empresa!B:E,4,0)</f>
        <v>Los Andes</v>
      </c>
    </row>
    <row r="307" spans="1:10">
      <c r="A307">
        <v>5302</v>
      </c>
      <c r="B307" s="7" t="s">
        <v>216</v>
      </c>
      <c r="C307">
        <v>1</v>
      </c>
      <c r="D307">
        <v>126011357</v>
      </c>
      <c r="E307" s="8">
        <v>46030.71597222222</v>
      </c>
      <c r="F307" s="8">
        <v>46033.21597222222</v>
      </c>
      <c r="G307">
        <v>4</v>
      </c>
      <c r="H307">
        <v>2</v>
      </c>
      <c r="I307" t="str">
        <f t="shared" ref="I307:I327" si="11">"6307"&amp;MID(B307,7,18)&amp;A307</f>
        <v>63072026010800545302</v>
      </c>
      <c r="J307" t="str">
        <f>VLOOKUP(A307,Comuna_empresa!B:E,4,0)</f>
        <v>Calle Larga</v>
      </c>
    </row>
    <row r="308" spans="1:10">
      <c r="A308">
        <v>5302</v>
      </c>
      <c r="B308" s="7" t="s">
        <v>227</v>
      </c>
      <c r="C308">
        <v>1</v>
      </c>
      <c r="D308">
        <v>126011358</v>
      </c>
      <c r="E308" s="8">
        <v>46030.71597222222</v>
      </c>
      <c r="F308" s="8">
        <v>46033.21597222222</v>
      </c>
      <c r="G308">
        <v>1</v>
      </c>
      <c r="H308">
        <v>2</v>
      </c>
      <c r="I308" t="str">
        <f t="shared" si="11"/>
        <v>63072026010800835302</v>
      </c>
      <c r="J308" t="str">
        <f>VLOOKUP(A308,Comuna_empresa!B:E,4,0)</f>
        <v>Calle Larga</v>
      </c>
    </row>
    <row r="309" spans="1:10">
      <c r="A309">
        <v>5302</v>
      </c>
      <c r="B309" s="7" t="s">
        <v>272</v>
      </c>
      <c r="C309">
        <v>1</v>
      </c>
      <c r="D309">
        <v>126011359</v>
      </c>
      <c r="E309" s="8">
        <v>46030.71597222222</v>
      </c>
      <c r="F309" s="8">
        <v>46033.21597222222</v>
      </c>
      <c r="G309">
        <v>1</v>
      </c>
      <c r="H309">
        <v>2</v>
      </c>
      <c r="I309" t="str">
        <f t="shared" si="11"/>
        <v>63072026010801255302</v>
      </c>
      <c r="J309" t="str">
        <f>VLOOKUP(A309,Comuna_empresa!B:E,4,0)</f>
        <v>Calle Larga</v>
      </c>
    </row>
    <row r="310" spans="1:10">
      <c r="A310">
        <v>5302</v>
      </c>
      <c r="B310" s="7" t="s">
        <v>246</v>
      </c>
      <c r="C310">
        <v>1</v>
      </c>
      <c r="D310">
        <v>126011360</v>
      </c>
      <c r="E310" s="8">
        <v>46030.71597222222</v>
      </c>
      <c r="F310" s="8">
        <v>46033.21597222222</v>
      </c>
      <c r="G310">
        <v>1</v>
      </c>
      <c r="H310">
        <v>2</v>
      </c>
      <c r="I310" t="str">
        <f t="shared" si="11"/>
        <v>63072026010801315302</v>
      </c>
      <c r="J310" t="str">
        <f>VLOOKUP(A310,Comuna_empresa!B:E,4,0)</f>
        <v>Calle Larga</v>
      </c>
    </row>
    <row r="311" spans="1:10">
      <c r="A311">
        <v>5302</v>
      </c>
      <c r="B311" s="7" t="s">
        <v>273</v>
      </c>
      <c r="C311">
        <v>1</v>
      </c>
      <c r="D311">
        <v>126011361</v>
      </c>
      <c r="E311" s="8">
        <v>46030.71597222222</v>
      </c>
      <c r="F311" s="8">
        <v>46033.21597222222</v>
      </c>
      <c r="G311">
        <v>1</v>
      </c>
      <c r="H311">
        <v>2</v>
      </c>
      <c r="I311" t="str">
        <f t="shared" si="11"/>
        <v>63072026010801325302</v>
      </c>
      <c r="J311" t="str">
        <f>VLOOKUP(A311,Comuna_empresa!B:E,4,0)</f>
        <v>Calle Larga</v>
      </c>
    </row>
    <row r="312" spans="1:10">
      <c r="A312">
        <v>5302</v>
      </c>
      <c r="B312" s="7" t="s">
        <v>247</v>
      </c>
      <c r="C312">
        <v>1</v>
      </c>
      <c r="D312">
        <v>126011364</v>
      </c>
      <c r="E312" s="8">
        <v>46030.71597222222</v>
      </c>
      <c r="F312" s="8">
        <v>46033.21597222222</v>
      </c>
      <c r="G312">
        <v>4</v>
      </c>
      <c r="H312">
        <v>2</v>
      </c>
      <c r="I312" t="str">
        <f t="shared" si="11"/>
        <v>63072026010801335302</v>
      </c>
      <c r="J312" t="str">
        <f>VLOOKUP(A312,Comuna_empresa!B:E,4,0)</f>
        <v>Calle Larga</v>
      </c>
    </row>
    <row r="313" spans="1:10">
      <c r="A313">
        <v>5302</v>
      </c>
      <c r="B313" s="7" t="s">
        <v>248</v>
      </c>
      <c r="C313">
        <v>1</v>
      </c>
      <c r="D313">
        <v>126011365</v>
      </c>
      <c r="E313" s="8">
        <v>46030.71597222222</v>
      </c>
      <c r="F313" s="8">
        <v>46033.21597222222</v>
      </c>
      <c r="G313">
        <v>4</v>
      </c>
      <c r="H313">
        <v>2</v>
      </c>
      <c r="I313" t="str">
        <f t="shared" si="11"/>
        <v>63072026010801355302</v>
      </c>
      <c r="J313" t="str">
        <f>VLOOKUP(A313,Comuna_empresa!B:E,4,0)</f>
        <v>Calle Larga</v>
      </c>
    </row>
    <row r="314" spans="1:10">
      <c r="A314">
        <v>5302</v>
      </c>
      <c r="B314" s="7" t="s">
        <v>248</v>
      </c>
      <c r="C314">
        <v>1</v>
      </c>
      <c r="D314">
        <v>126011366</v>
      </c>
      <c r="E314" s="8">
        <v>46030.71597222222</v>
      </c>
      <c r="F314" s="8">
        <v>46033.21597222222</v>
      </c>
      <c r="G314">
        <v>4</v>
      </c>
      <c r="H314">
        <v>2</v>
      </c>
      <c r="I314" t="str">
        <f t="shared" si="11"/>
        <v>63072026010801355302</v>
      </c>
      <c r="J314" t="str">
        <f>VLOOKUP(A314,Comuna_empresa!B:E,4,0)</f>
        <v>Calle Larga</v>
      </c>
    </row>
    <row r="315" spans="1:10">
      <c r="A315">
        <v>5302</v>
      </c>
      <c r="B315" s="7" t="s">
        <v>248</v>
      </c>
      <c r="C315">
        <v>1</v>
      </c>
      <c r="D315">
        <v>126011367</v>
      </c>
      <c r="E315" s="8">
        <v>46030.71597222222</v>
      </c>
      <c r="F315" s="8">
        <v>46033.21597222222</v>
      </c>
      <c r="G315">
        <v>4</v>
      </c>
      <c r="H315">
        <v>2</v>
      </c>
      <c r="I315" t="str">
        <f t="shared" si="11"/>
        <v>63072026010801355302</v>
      </c>
      <c r="J315" t="str">
        <f>VLOOKUP(A315,Comuna_empresa!B:E,4,0)</f>
        <v>Calle Larga</v>
      </c>
    </row>
    <row r="316" spans="1:10">
      <c r="A316">
        <v>5302</v>
      </c>
      <c r="B316" s="7" t="s">
        <v>249</v>
      </c>
      <c r="C316">
        <v>1</v>
      </c>
      <c r="D316">
        <v>126011370</v>
      </c>
      <c r="E316" s="8">
        <v>46030.71597222222</v>
      </c>
      <c r="F316" s="8">
        <v>46033.21597222222</v>
      </c>
      <c r="G316">
        <v>4</v>
      </c>
      <c r="H316">
        <v>2</v>
      </c>
      <c r="I316" t="str">
        <f t="shared" si="11"/>
        <v>63072026010801395302</v>
      </c>
      <c r="J316" t="str">
        <f>VLOOKUP(A316,Comuna_empresa!B:E,4,0)</f>
        <v>Calle Larga</v>
      </c>
    </row>
    <row r="317" spans="1:10">
      <c r="A317">
        <v>5302</v>
      </c>
      <c r="B317" s="7" t="s">
        <v>274</v>
      </c>
      <c r="C317">
        <v>1</v>
      </c>
      <c r="D317">
        <v>126011371</v>
      </c>
      <c r="E317" s="8">
        <v>46030.71597222222</v>
      </c>
      <c r="F317" s="8">
        <v>46033.21597222222</v>
      </c>
      <c r="G317">
        <v>1</v>
      </c>
      <c r="H317">
        <v>2</v>
      </c>
      <c r="I317" t="str">
        <f t="shared" si="11"/>
        <v>63072026010900285302</v>
      </c>
      <c r="J317" t="str">
        <f>VLOOKUP(A317,Comuna_empresa!B:E,4,0)</f>
        <v>Calle Larga</v>
      </c>
    </row>
    <row r="318" spans="1:10">
      <c r="A318">
        <v>5302</v>
      </c>
      <c r="B318" s="7" t="s">
        <v>275</v>
      </c>
      <c r="C318">
        <v>1</v>
      </c>
      <c r="D318">
        <v>126011372</v>
      </c>
      <c r="E318" s="8">
        <v>46030.71597222222</v>
      </c>
      <c r="F318" s="8">
        <v>46033.21597222222</v>
      </c>
      <c r="G318">
        <v>1</v>
      </c>
      <c r="H318">
        <v>2</v>
      </c>
      <c r="I318" t="str">
        <f t="shared" si="11"/>
        <v>63072026010900715302</v>
      </c>
      <c r="J318" t="str">
        <f>VLOOKUP(A318,Comuna_empresa!B:E,4,0)</f>
        <v>Calle Larga</v>
      </c>
    </row>
    <row r="319" spans="1:10">
      <c r="A319">
        <v>5302</v>
      </c>
      <c r="B319" s="7" t="s">
        <v>276</v>
      </c>
      <c r="C319">
        <v>1</v>
      </c>
      <c r="D319">
        <v>126011373</v>
      </c>
      <c r="E319" s="8">
        <v>46030.71597222222</v>
      </c>
      <c r="F319" s="8">
        <v>46033.21597222222</v>
      </c>
      <c r="G319">
        <v>1</v>
      </c>
      <c r="H319">
        <v>2</v>
      </c>
      <c r="I319" t="str">
        <f t="shared" si="11"/>
        <v>63072026010900915302</v>
      </c>
      <c r="J319" t="str">
        <f>VLOOKUP(A319,Comuna_empresa!B:E,4,0)</f>
        <v>Calle Larga</v>
      </c>
    </row>
    <row r="320" spans="1:10">
      <c r="A320">
        <v>5302</v>
      </c>
      <c r="B320" s="7" t="s">
        <v>277</v>
      </c>
      <c r="C320">
        <v>1</v>
      </c>
      <c r="D320">
        <v>126011374</v>
      </c>
      <c r="E320" s="8">
        <v>46030.71597222222</v>
      </c>
      <c r="F320" s="8">
        <v>46033.21597222222</v>
      </c>
      <c r="G320">
        <v>1</v>
      </c>
      <c r="H320">
        <v>2</v>
      </c>
      <c r="I320" t="str">
        <f t="shared" si="11"/>
        <v>63072026011000425302</v>
      </c>
      <c r="J320" t="str">
        <f>VLOOKUP(A320,Comuna_empresa!B:E,4,0)</f>
        <v>Calle Larga</v>
      </c>
    </row>
    <row r="321" spans="1:10">
      <c r="A321">
        <v>5302</v>
      </c>
      <c r="B321" s="7" t="s">
        <v>278</v>
      </c>
      <c r="C321">
        <v>1</v>
      </c>
      <c r="D321">
        <v>126011375</v>
      </c>
      <c r="E321" s="8">
        <v>46030.71597222222</v>
      </c>
      <c r="F321" s="8">
        <v>46033.21597222222</v>
      </c>
      <c r="G321">
        <v>1</v>
      </c>
      <c r="H321">
        <v>2</v>
      </c>
      <c r="I321" t="str">
        <f t="shared" si="11"/>
        <v>63072026011000575302</v>
      </c>
      <c r="J321" t="str">
        <f>VLOOKUP(A321,Comuna_empresa!B:E,4,0)</f>
        <v>Calle Larga</v>
      </c>
    </row>
    <row r="322" spans="1:10">
      <c r="A322">
        <v>5302</v>
      </c>
      <c r="B322" s="7" t="s">
        <v>264</v>
      </c>
      <c r="C322">
        <v>1</v>
      </c>
      <c r="D322">
        <v>126011376</v>
      </c>
      <c r="E322" s="8">
        <v>46030.71597222222</v>
      </c>
      <c r="F322" s="8">
        <v>46033.21597222222</v>
      </c>
      <c r="G322">
        <v>4</v>
      </c>
      <c r="H322">
        <v>2</v>
      </c>
      <c r="I322" t="str">
        <f t="shared" si="11"/>
        <v>63072026011000585302</v>
      </c>
      <c r="J322" t="str">
        <f>VLOOKUP(A322,Comuna_empresa!B:E,4,0)</f>
        <v>Calle Larga</v>
      </c>
    </row>
    <row r="323" spans="1:10">
      <c r="A323">
        <v>5302</v>
      </c>
      <c r="B323" s="7" t="s">
        <v>264</v>
      </c>
      <c r="C323">
        <v>1</v>
      </c>
      <c r="D323">
        <v>126011377</v>
      </c>
      <c r="E323" s="8">
        <v>46030.71597222222</v>
      </c>
      <c r="F323" s="8">
        <v>46033.21597222222</v>
      </c>
      <c r="G323">
        <v>4</v>
      </c>
      <c r="H323">
        <v>2</v>
      </c>
      <c r="I323" t="str">
        <f t="shared" si="11"/>
        <v>63072026011000585302</v>
      </c>
      <c r="J323" t="str">
        <f>VLOOKUP(A323,Comuna_empresa!B:E,4,0)</f>
        <v>Calle Larga</v>
      </c>
    </row>
    <row r="324" spans="1:10">
      <c r="A324">
        <v>5302</v>
      </c>
      <c r="B324" s="7" t="s">
        <v>264</v>
      </c>
      <c r="C324">
        <v>1</v>
      </c>
      <c r="D324">
        <v>126011378</v>
      </c>
      <c r="E324" s="8">
        <v>46030.71597222222</v>
      </c>
      <c r="F324" s="8">
        <v>46033.21597222222</v>
      </c>
      <c r="G324">
        <v>4</v>
      </c>
      <c r="H324">
        <v>2</v>
      </c>
      <c r="I324" t="str">
        <f t="shared" si="11"/>
        <v>63072026011000585302</v>
      </c>
      <c r="J324" t="str">
        <f>VLOOKUP(A324,Comuna_empresa!B:E,4,0)</f>
        <v>Calle Larga</v>
      </c>
    </row>
    <row r="325" spans="1:10">
      <c r="A325">
        <v>5302</v>
      </c>
      <c r="B325" s="7" t="s">
        <v>264</v>
      </c>
      <c r="C325">
        <v>1</v>
      </c>
      <c r="D325">
        <v>126011379</v>
      </c>
      <c r="E325" s="8">
        <v>46030.71597222222</v>
      </c>
      <c r="F325" s="8">
        <v>46033.21597222222</v>
      </c>
      <c r="G325">
        <v>4</v>
      </c>
      <c r="H325">
        <v>2</v>
      </c>
      <c r="I325" t="str">
        <f t="shared" si="11"/>
        <v>63072026011000585302</v>
      </c>
      <c r="J325" t="str">
        <f>VLOOKUP(A325,Comuna_empresa!B:E,4,0)</f>
        <v>Calle Larga</v>
      </c>
    </row>
    <row r="326" spans="1:10">
      <c r="A326">
        <v>5302</v>
      </c>
      <c r="B326" s="7" t="s">
        <v>279</v>
      </c>
      <c r="C326">
        <v>1</v>
      </c>
      <c r="D326">
        <v>126011380</v>
      </c>
      <c r="E326" s="8">
        <v>46030.71597222222</v>
      </c>
      <c r="F326" s="8">
        <v>46033.21597222222</v>
      </c>
      <c r="G326">
        <v>1</v>
      </c>
      <c r="H326">
        <v>2</v>
      </c>
      <c r="I326" t="str">
        <f t="shared" si="11"/>
        <v>63072026011000595302</v>
      </c>
      <c r="J326" t="str">
        <f>VLOOKUP(A326,Comuna_empresa!B:E,4,0)</f>
        <v>Calle Larga</v>
      </c>
    </row>
    <row r="327" spans="1:10">
      <c r="A327">
        <v>5302</v>
      </c>
      <c r="B327" s="7" t="s">
        <v>280</v>
      </c>
      <c r="C327">
        <v>1</v>
      </c>
      <c r="D327">
        <v>126011381</v>
      </c>
      <c r="E327" s="8">
        <v>46030.71597222222</v>
      </c>
      <c r="F327" s="8">
        <v>46033.21597222222</v>
      </c>
      <c r="G327">
        <v>1</v>
      </c>
      <c r="H327">
        <v>2</v>
      </c>
      <c r="I327" t="str">
        <f t="shared" si="11"/>
        <v>63072026011000605302</v>
      </c>
      <c r="J327" t="str">
        <f>VLOOKUP(A327,Comuna_empresa!B:E,4,0)</f>
        <v>Calle Larga</v>
      </c>
    </row>
    <row r="328" spans="1:10">
      <c r="A328">
        <v>5303</v>
      </c>
      <c r="B328" s="7" t="s">
        <v>281</v>
      </c>
      <c r="C328">
        <v>1</v>
      </c>
      <c r="D328">
        <v>126011428</v>
      </c>
      <c r="E328" s="8">
        <v>46030.597222222219</v>
      </c>
      <c r="F328" s="8">
        <v>46033.597222222219</v>
      </c>
      <c r="G328">
        <v>4</v>
      </c>
      <c r="H328">
        <v>2</v>
      </c>
      <c r="I328" t="str">
        <f t="shared" ref="I328:I367" si="12">"6307"&amp;MID(B328,7,18)&amp;A328</f>
        <v>63072026010801125303</v>
      </c>
      <c r="J328" t="str">
        <f>VLOOKUP(A328,Comuna_empresa!B:E,4,0)</f>
        <v>Rinconada</v>
      </c>
    </row>
    <row r="329" spans="1:10">
      <c r="A329">
        <v>5303</v>
      </c>
      <c r="B329" s="7" t="s">
        <v>238</v>
      </c>
      <c r="C329">
        <v>1</v>
      </c>
      <c r="D329">
        <v>126011429</v>
      </c>
      <c r="E329" s="8">
        <v>46030.597222222219</v>
      </c>
      <c r="F329" s="8">
        <v>46033.597222222219</v>
      </c>
      <c r="G329">
        <v>4</v>
      </c>
      <c r="H329">
        <v>2</v>
      </c>
      <c r="I329" t="str">
        <f t="shared" si="12"/>
        <v>63072026010801155303</v>
      </c>
      <c r="J329" t="str">
        <f>VLOOKUP(A329,Comuna_empresa!B:E,4,0)</f>
        <v>Rinconada</v>
      </c>
    </row>
    <row r="330" spans="1:10">
      <c r="A330">
        <v>5303</v>
      </c>
      <c r="B330" s="7" t="s">
        <v>247</v>
      </c>
      <c r="C330">
        <v>1</v>
      </c>
      <c r="D330">
        <v>126011430</v>
      </c>
      <c r="E330" s="8">
        <v>46030.597222222219</v>
      </c>
      <c r="F330" s="8">
        <v>46033.597222222219</v>
      </c>
      <c r="G330">
        <v>4</v>
      </c>
      <c r="H330">
        <v>2</v>
      </c>
      <c r="I330" t="str">
        <f t="shared" si="12"/>
        <v>63072026010801335303</v>
      </c>
      <c r="J330" t="str">
        <f>VLOOKUP(A330,Comuna_empresa!B:E,4,0)</f>
        <v>Rinconada</v>
      </c>
    </row>
    <row r="331" spans="1:10">
      <c r="A331">
        <v>5303</v>
      </c>
      <c r="B331" s="7" t="s">
        <v>247</v>
      </c>
      <c r="C331">
        <v>1</v>
      </c>
      <c r="D331">
        <v>126011431</v>
      </c>
      <c r="E331" s="8">
        <v>46030.597222222219</v>
      </c>
      <c r="F331" s="8">
        <v>46033.597222222219</v>
      </c>
      <c r="G331">
        <v>4</v>
      </c>
      <c r="H331">
        <v>2</v>
      </c>
      <c r="I331" t="str">
        <f t="shared" si="12"/>
        <v>63072026010801335303</v>
      </c>
      <c r="J331" t="str">
        <f>VLOOKUP(A331,Comuna_empresa!B:E,4,0)</f>
        <v>Rinconada</v>
      </c>
    </row>
    <row r="332" spans="1:10">
      <c r="A332">
        <v>5303</v>
      </c>
      <c r="B332" s="7" t="s">
        <v>247</v>
      </c>
      <c r="C332">
        <v>1</v>
      </c>
      <c r="D332">
        <v>126011432</v>
      </c>
      <c r="E332" s="8">
        <v>46030.597222222219</v>
      </c>
      <c r="F332" s="8">
        <v>46033.597222222219</v>
      </c>
      <c r="G332">
        <v>4</v>
      </c>
      <c r="H332">
        <v>2</v>
      </c>
      <c r="I332" t="str">
        <f t="shared" si="12"/>
        <v>63072026010801335303</v>
      </c>
      <c r="J332" t="str">
        <f>VLOOKUP(A332,Comuna_empresa!B:E,4,0)</f>
        <v>Rinconada</v>
      </c>
    </row>
    <row r="333" spans="1:10">
      <c r="A333">
        <v>5303</v>
      </c>
      <c r="B333" s="7" t="s">
        <v>248</v>
      </c>
      <c r="C333">
        <v>1</v>
      </c>
      <c r="D333">
        <v>126011433</v>
      </c>
      <c r="E333" s="8">
        <v>46030.597222222219</v>
      </c>
      <c r="F333" s="8">
        <v>46033.597222222219</v>
      </c>
      <c r="G333">
        <v>4</v>
      </c>
      <c r="H333">
        <v>2</v>
      </c>
      <c r="I333" t="str">
        <f t="shared" si="12"/>
        <v>63072026010801355303</v>
      </c>
      <c r="J333" t="str">
        <f>VLOOKUP(A333,Comuna_empresa!B:E,4,0)</f>
        <v>Rinconada</v>
      </c>
    </row>
    <row r="334" spans="1:10">
      <c r="A334">
        <v>5303</v>
      </c>
      <c r="B334" s="7" t="s">
        <v>248</v>
      </c>
      <c r="C334">
        <v>1</v>
      </c>
      <c r="D334">
        <v>126011434</v>
      </c>
      <c r="E334" s="8">
        <v>46030.597222222219</v>
      </c>
      <c r="F334" s="8">
        <v>46033.597222222219</v>
      </c>
      <c r="G334">
        <v>4</v>
      </c>
      <c r="H334">
        <v>2</v>
      </c>
      <c r="I334" t="str">
        <f t="shared" si="12"/>
        <v>63072026010801355303</v>
      </c>
      <c r="J334" t="str">
        <f>VLOOKUP(A334,Comuna_empresa!B:E,4,0)</f>
        <v>Rinconada</v>
      </c>
    </row>
    <row r="335" spans="1:10">
      <c r="A335">
        <v>5303</v>
      </c>
      <c r="B335" s="7" t="s">
        <v>248</v>
      </c>
      <c r="C335">
        <v>1</v>
      </c>
      <c r="D335">
        <v>126011435</v>
      </c>
      <c r="E335" s="8">
        <v>46030.597222222219</v>
      </c>
      <c r="F335" s="8">
        <v>46033.597222222219</v>
      </c>
      <c r="G335">
        <v>4</v>
      </c>
      <c r="H335">
        <v>2</v>
      </c>
      <c r="I335" t="str">
        <f t="shared" si="12"/>
        <v>63072026010801355303</v>
      </c>
      <c r="J335" t="str">
        <f>VLOOKUP(A335,Comuna_empresa!B:E,4,0)</f>
        <v>Rinconada</v>
      </c>
    </row>
    <row r="336" spans="1:10">
      <c r="A336">
        <v>5303</v>
      </c>
      <c r="B336" s="7" t="s">
        <v>249</v>
      </c>
      <c r="C336">
        <v>1</v>
      </c>
      <c r="D336">
        <v>126011436</v>
      </c>
      <c r="E336" s="8">
        <v>46030.597222222219</v>
      </c>
      <c r="F336" s="8">
        <v>46033.597222222219</v>
      </c>
      <c r="G336">
        <v>4</v>
      </c>
      <c r="H336">
        <v>2</v>
      </c>
      <c r="I336" t="str">
        <f t="shared" si="12"/>
        <v>63072026010801395303</v>
      </c>
      <c r="J336" t="str">
        <f>VLOOKUP(A336,Comuna_empresa!B:E,4,0)</f>
        <v>Rinconada</v>
      </c>
    </row>
    <row r="337" spans="1:10">
      <c r="A337">
        <v>5303</v>
      </c>
      <c r="B337" s="7" t="s">
        <v>282</v>
      </c>
      <c r="C337">
        <v>1</v>
      </c>
      <c r="D337">
        <v>126011437</v>
      </c>
      <c r="E337" s="8">
        <v>46030.597222222219</v>
      </c>
      <c r="F337" s="8">
        <v>46033.597222222219</v>
      </c>
      <c r="G337">
        <v>1</v>
      </c>
      <c r="H337">
        <v>2</v>
      </c>
      <c r="I337" t="str">
        <f t="shared" si="12"/>
        <v>63072026010900435303</v>
      </c>
      <c r="J337" t="str">
        <f>VLOOKUP(A337,Comuna_empresa!B:E,4,0)</f>
        <v>Rinconada</v>
      </c>
    </row>
    <row r="338" spans="1:10">
      <c r="A338">
        <v>5303</v>
      </c>
      <c r="B338" s="7" t="s">
        <v>283</v>
      </c>
      <c r="C338">
        <v>1</v>
      </c>
      <c r="D338">
        <v>126011438</v>
      </c>
      <c r="E338" s="8">
        <v>46030.597222222219</v>
      </c>
      <c r="F338" s="8">
        <v>46033.597222222219</v>
      </c>
      <c r="G338">
        <v>1</v>
      </c>
      <c r="H338">
        <v>2</v>
      </c>
      <c r="I338" t="str">
        <f t="shared" si="12"/>
        <v>63072026010900945303</v>
      </c>
      <c r="J338" t="str">
        <f>VLOOKUP(A338,Comuna_empresa!B:E,4,0)</f>
        <v>Rinconada</v>
      </c>
    </row>
    <row r="339" spans="1:10">
      <c r="A339">
        <v>5303</v>
      </c>
      <c r="B339" s="7" t="s">
        <v>264</v>
      </c>
      <c r="C339">
        <v>1</v>
      </c>
      <c r="D339">
        <v>126011439</v>
      </c>
      <c r="E339" s="8">
        <v>46030.597222222219</v>
      </c>
      <c r="F339" s="8">
        <v>46033.597222222219</v>
      </c>
      <c r="G339">
        <v>4</v>
      </c>
      <c r="H339">
        <v>2</v>
      </c>
      <c r="I339" t="str">
        <f t="shared" si="12"/>
        <v>63072026011000585303</v>
      </c>
      <c r="J339" t="str">
        <f>VLOOKUP(A339,Comuna_empresa!B:E,4,0)</f>
        <v>Rinconada</v>
      </c>
    </row>
    <row r="340" spans="1:10">
      <c r="A340">
        <v>5601</v>
      </c>
      <c r="B340" s="7" t="s">
        <v>286</v>
      </c>
      <c r="C340">
        <v>1</v>
      </c>
      <c r="D340">
        <v>126011865</v>
      </c>
      <c r="E340" s="8">
        <v>46027.697222222225</v>
      </c>
      <c r="F340" s="8">
        <v>46029.572222222225</v>
      </c>
      <c r="G340">
        <v>1</v>
      </c>
      <c r="H340">
        <v>2</v>
      </c>
      <c r="I340" t="str">
        <f t="shared" si="12"/>
        <v>63072026010500335601</v>
      </c>
      <c r="J340" t="str">
        <f>VLOOKUP(A340,Comuna_empresa!B:E,4,0)</f>
        <v>San Antonio</v>
      </c>
    </row>
    <row r="341" spans="1:10">
      <c r="A341">
        <v>5601</v>
      </c>
      <c r="B341" s="7" t="s">
        <v>287</v>
      </c>
      <c r="C341">
        <v>1</v>
      </c>
      <c r="D341">
        <v>126011866</v>
      </c>
      <c r="E341" s="8">
        <v>46027.697222222225</v>
      </c>
      <c r="F341" s="8">
        <v>46029.572222222225</v>
      </c>
      <c r="G341">
        <v>1</v>
      </c>
      <c r="H341">
        <v>2</v>
      </c>
      <c r="I341" t="str">
        <f t="shared" si="12"/>
        <v>63072026010500345601</v>
      </c>
      <c r="J341" t="str">
        <f>VLOOKUP(A341,Comuna_empresa!B:E,4,0)</f>
        <v>San Antonio</v>
      </c>
    </row>
    <row r="342" spans="1:10">
      <c r="A342">
        <v>5601</v>
      </c>
      <c r="B342" s="7" t="s">
        <v>288</v>
      </c>
      <c r="C342">
        <v>1</v>
      </c>
      <c r="D342">
        <v>126011867</v>
      </c>
      <c r="E342" s="8">
        <v>46027.697222222225</v>
      </c>
      <c r="F342" s="8">
        <v>46029.572222222225</v>
      </c>
      <c r="G342">
        <v>1</v>
      </c>
      <c r="H342">
        <v>2</v>
      </c>
      <c r="I342" t="str">
        <f t="shared" si="12"/>
        <v>63072026010500365601</v>
      </c>
      <c r="J342" t="str">
        <f>VLOOKUP(A342,Comuna_empresa!B:E,4,0)</f>
        <v>San Antonio</v>
      </c>
    </row>
    <row r="343" spans="1:10">
      <c r="A343">
        <v>5601</v>
      </c>
      <c r="B343" s="7" t="s">
        <v>289</v>
      </c>
      <c r="C343">
        <v>1</v>
      </c>
      <c r="D343">
        <v>126011868</v>
      </c>
      <c r="E343" s="8">
        <v>46027.697222222225</v>
      </c>
      <c r="F343" s="8">
        <v>46029.572222222225</v>
      </c>
      <c r="G343">
        <v>1</v>
      </c>
      <c r="H343">
        <v>2</v>
      </c>
      <c r="I343" t="str">
        <f t="shared" si="12"/>
        <v>63072026010500405601</v>
      </c>
      <c r="J343" t="str">
        <f>VLOOKUP(A343,Comuna_empresa!B:E,4,0)</f>
        <v>San Antonio</v>
      </c>
    </row>
    <row r="344" spans="1:10">
      <c r="A344">
        <v>5601</v>
      </c>
      <c r="B344" s="7" t="s">
        <v>290</v>
      </c>
      <c r="C344">
        <v>1</v>
      </c>
      <c r="D344">
        <v>126011869</v>
      </c>
      <c r="E344" s="8">
        <v>46027.697222222225</v>
      </c>
      <c r="F344" s="8">
        <v>46029.572222222225</v>
      </c>
      <c r="G344">
        <v>1</v>
      </c>
      <c r="H344">
        <v>2</v>
      </c>
      <c r="I344" t="str">
        <f t="shared" si="12"/>
        <v>63072026010500495601</v>
      </c>
      <c r="J344" t="str">
        <f>VLOOKUP(A344,Comuna_empresa!B:E,4,0)</f>
        <v>San Antonio</v>
      </c>
    </row>
    <row r="345" spans="1:10">
      <c r="A345">
        <v>5601</v>
      </c>
      <c r="B345" s="7" t="s">
        <v>291</v>
      </c>
      <c r="C345">
        <v>1</v>
      </c>
      <c r="D345">
        <v>126011870</v>
      </c>
      <c r="E345" s="8">
        <v>46027.697222222225</v>
      </c>
      <c r="F345" s="8">
        <v>46029.572222222225</v>
      </c>
      <c r="G345">
        <v>1</v>
      </c>
      <c r="H345">
        <v>2</v>
      </c>
      <c r="I345" t="str">
        <f t="shared" si="12"/>
        <v>63072026010500545601</v>
      </c>
      <c r="J345" t="str">
        <f>VLOOKUP(A345,Comuna_empresa!B:E,4,0)</f>
        <v>San Antonio</v>
      </c>
    </row>
    <row r="346" spans="1:10">
      <c r="A346">
        <v>5601</v>
      </c>
      <c r="B346" s="7" t="s">
        <v>292</v>
      </c>
      <c r="C346">
        <v>1</v>
      </c>
      <c r="D346">
        <v>126011871</v>
      </c>
      <c r="E346" s="8">
        <v>46027.697222222225</v>
      </c>
      <c r="F346" s="8">
        <v>46029.572222222225</v>
      </c>
      <c r="G346">
        <v>1</v>
      </c>
      <c r="H346">
        <v>2</v>
      </c>
      <c r="I346" t="str">
        <f t="shared" si="12"/>
        <v>63072026010500605601</v>
      </c>
      <c r="J346" t="str">
        <f>VLOOKUP(A346,Comuna_empresa!B:E,4,0)</f>
        <v>San Antonio</v>
      </c>
    </row>
    <row r="347" spans="1:10">
      <c r="A347">
        <v>5601</v>
      </c>
      <c r="B347" s="7" t="s">
        <v>293</v>
      </c>
      <c r="C347">
        <v>1</v>
      </c>
      <c r="D347">
        <v>126011872</v>
      </c>
      <c r="E347" s="8">
        <v>46027.697222222225</v>
      </c>
      <c r="F347" s="8">
        <v>46029.572222222225</v>
      </c>
      <c r="G347">
        <v>1</v>
      </c>
      <c r="H347">
        <v>2</v>
      </c>
      <c r="I347" t="str">
        <f t="shared" si="12"/>
        <v>63072026010500675601</v>
      </c>
      <c r="J347" t="str">
        <f>VLOOKUP(A347,Comuna_empresa!B:E,4,0)</f>
        <v>San Antonio</v>
      </c>
    </row>
    <row r="348" spans="1:10">
      <c r="A348">
        <v>5601</v>
      </c>
      <c r="B348" s="7" t="s">
        <v>294</v>
      </c>
      <c r="C348">
        <v>1</v>
      </c>
      <c r="D348">
        <v>126011873</v>
      </c>
      <c r="E348" s="8">
        <v>46027.697222222225</v>
      </c>
      <c r="F348" s="8">
        <v>46029.572222222225</v>
      </c>
      <c r="G348">
        <v>1</v>
      </c>
      <c r="H348">
        <v>2</v>
      </c>
      <c r="I348" t="str">
        <f t="shared" si="12"/>
        <v>63072026010500745601</v>
      </c>
      <c r="J348" t="str">
        <f>VLOOKUP(A348,Comuna_empresa!B:E,4,0)</f>
        <v>San Antonio</v>
      </c>
    </row>
    <row r="349" spans="1:10">
      <c r="A349">
        <v>5601</v>
      </c>
      <c r="B349" s="7" t="s">
        <v>295</v>
      </c>
      <c r="C349">
        <v>1</v>
      </c>
      <c r="D349">
        <v>126011874</v>
      </c>
      <c r="E349" s="8">
        <v>46027.697222222225</v>
      </c>
      <c r="F349" s="8">
        <v>46029.572222222225</v>
      </c>
      <c r="G349">
        <v>1</v>
      </c>
      <c r="H349">
        <v>2</v>
      </c>
      <c r="I349" t="str">
        <f t="shared" si="12"/>
        <v>63072026010500765601</v>
      </c>
      <c r="J349" t="str">
        <f>VLOOKUP(A349,Comuna_empresa!B:E,4,0)</f>
        <v>San Antonio</v>
      </c>
    </row>
    <row r="350" spans="1:10">
      <c r="A350">
        <v>5601</v>
      </c>
      <c r="B350" s="7" t="s">
        <v>296</v>
      </c>
      <c r="C350">
        <v>1</v>
      </c>
      <c r="D350">
        <v>126011875</v>
      </c>
      <c r="E350" s="8">
        <v>46027.697222222225</v>
      </c>
      <c r="F350" s="8">
        <v>46029.572222222225</v>
      </c>
      <c r="G350">
        <v>1</v>
      </c>
      <c r="H350">
        <v>2</v>
      </c>
      <c r="I350" t="str">
        <f t="shared" si="12"/>
        <v>63072026010500775601</v>
      </c>
      <c r="J350" t="str">
        <f>VLOOKUP(A350,Comuna_empresa!B:E,4,0)</f>
        <v>San Antonio</v>
      </c>
    </row>
    <row r="351" spans="1:10">
      <c r="A351">
        <v>5601</v>
      </c>
      <c r="B351" s="7" t="s">
        <v>297</v>
      </c>
      <c r="C351">
        <v>1</v>
      </c>
      <c r="D351">
        <v>126011876</v>
      </c>
      <c r="E351" s="8">
        <v>46027.697222222225</v>
      </c>
      <c r="F351" s="8">
        <v>46029.572222222225</v>
      </c>
      <c r="G351">
        <v>1</v>
      </c>
      <c r="H351">
        <v>2</v>
      </c>
      <c r="I351" t="str">
        <f t="shared" si="12"/>
        <v>63072026010500865601</v>
      </c>
      <c r="J351" t="str">
        <f>VLOOKUP(A351,Comuna_empresa!B:E,4,0)</f>
        <v>San Antonio</v>
      </c>
    </row>
    <row r="352" spans="1:10">
      <c r="A352">
        <v>5601</v>
      </c>
      <c r="B352" s="7" t="s">
        <v>298</v>
      </c>
      <c r="C352">
        <v>1</v>
      </c>
      <c r="D352">
        <v>126011877</v>
      </c>
      <c r="E352" s="8">
        <v>46027.697222222225</v>
      </c>
      <c r="F352" s="8">
        <v>46029.572222222225</v>
      </c>
      <c r="G352">
        <v>1</v>
      </c>
      <c r="H352">
        <v>2</v>
      </c>
      <c r="I352" t="str">
        <f t="shared" si="12"/>
        <v>63072026010500885601</v>
      </c>
      <c r="J352" t="str">
        <f>VLOOKUP(A352,Comuna_empresa!B:E,4,0)</f>
        <v>San Antonio</v>
      </c>
    </row>
    <row r="353" spans="1:10">
      <c r="A353">
        <v>5601</v>
      </c>
      <c r="B353" s="7" t="s">
        <v>299</v>
      </c>
      <c r="C353">
        <v>1</v>
      </c>
      <c r="D353">
        <v>126011878</v>
      </c>
      <c r="E353" s="8">
        <v>46027.697222222225</v>
      </c>
      <c r="F353" s="8">
        <v>46029.572222222225</v>
      </c>
      <c r="G353">
        <v>1</v>
      </c>
      <c r="H353">
        <v>2</v>
      </c>
      <c r="I353" t="str">
        <f t="shared" si="12"/>
        <v>63072026010500895601</v>
      </c>
      <c r="J353" t="str">
        <f>VLOOKUP(A353,Comuna_empresa!B:E,4,0)</f>
        <v>San Antonio</v>
      </c>
    </row>
    <row r="354" spans="1:10">
      <c r="A354">
        <v>5601</v>
      </c>
      <c r="B354" s="7" t="s">
        <v>300</v>
      </c>
      <c r="C354">
        <v>1</v>
      </c>
      <c r="D354">
        <v>126011879</v>
      </c>
      <c r="E354" s="8">
        <v>46027.697222222225</v>
      </c>
      <c r="F354" s="8">
        <v>46029.572222222225</v>
      </c>
      <c r="G354">
        <v>1</v>
      </c>
      <c r="H354">
        <v>2</v>
      </c>
      <c r="I354" t="str">
        <f t="shared" si="12"/>
        <v>63072026010500915601</v>
      </c>
      <c r="J354" t="str">
        <f>VLOOKUP(A354,Comuna_empresa!B:E,4,0)</f>
        <v>San Antonio</v>
      </c>
    </row>
    <row r="355" spans="1:10">
      <c r="A355">
        <v>5601</v>
      </c>
      <c r="B355" s="7" t="s">
        <v>301</v>
      </c>
      <c r="C355">
        <v>1</v>
      </c>
      <c r="D355">
        <v>126011880</v>
      </c>
      <c r="E355" s="8">
        <v>46027.697222222225</v>
      </c>
      <c r="F355" s="8">
        <v>46029.572222222225</v>
      </c>
      <c r="G355">
        <v>1</v>
      </c>
      <c r="H355">
        <v>2</v>
      </c>
      <c r="I355" t="str">
        <f t="shared" si="12"/>
        <v>63072026010500925601</v>
      </c>
      <c r="J355" t="str">
        <f>VLOOKUP(A355,Comuna_empresa!B:E,4,0)</f>
        <v>San Antonio</v>
      </c>
    </row>
    <row r="356" spans="1:10">
      <c r="A356">
        <v>5601</v>
      </c>
      <c r="B356" s="7" t="s">
        <v>302</v>
      </c>
      <c r="C356">
        <v>1</v>
      </c>
      <c r="D356">
        <v>126011881</v>
      </c>
      <c r="E356" s="8">
        <v>46027.697222222225</v>
      </c>
      <c r="F356" s="8">
        <v>46029.572222222225</v>
      </c>
      <c r="G356">
        <v>1</v>
      </c>
      <c r="H356">
        <v>2</v>
      </c>
      <c r="I356" t="str">
        <f t="shared" si="12"/>
        <v>63072026010600015601</v>
      </c>
      <c r="J356" t="str">
        <f>VLOOKUP(A356,Comuna_empresa!B:E,4,0)</f>
        <v>San Antonio</v>
      </c>
    </row>
    <row r="357" spans="1:10">
      <c r="A357">
        <v>5601</v>
      </c>
      <c r="B357" s="7" t="s">
        <v>303</v>
      </c>
      <c r="C357">
        <v>1</v>
      </c>
      <c r="D357">
        <v>126011882</v>
      </c>
      <c r="E357" s="8">
        <v>46027.697222222225</v>
      </c>
      <c r="F357" s="8">
        <v>46029.572222222225</v>
      </c>
      <c r="G357">
        <v>4</v>
      </c>
      <c r="H357">
        <v>2</v>
      </c>
      <c r="I357" t="str">
        <f t="shared" si="12"/>
        <v>63072026010600175601</v>
      </c>
      <c r="J357" t="str">
        <f>VLOOKUP(A357,Comuna_empresa!B:E,4,0)</f>
        <v>San Antonio</v>
      </c>
    </row>
    <row r="358" spans="1:10">
      <c r="A358">
        <v>5601</v>
      </c>
      <c r="B358" s="7" t="s">
        <v>304</v>
      </c>
      <c r="C358">
        <v>1</v>
      </c>
      <c r="D358">
        <v>126011883</v>
      </c>
      <c r="E358" s="8">
        <v>46027.697222222225</v>
      </c>
      <c r="F358" s="8">
        <v>46029.572222222225</v>
      </c>
      <c r="G358">
        <v>1</v>
      </c>
      <c r="H358">
        <v>2</v>
      </c>
      <c r="I358" t="str">
        <f t="shared" si="12"/>
        <v>63072026010600405601</v>
      </c>
      <c r="J358" t="str">
        <f>VLOOKUP(A358,Comuna_empresa!B:E,4,0)</f>
        <v>San Antonio</v>
      </c>
    </row>
    <row r="359" spans="1:10">
      <c r="A359">
        <v>5601</v>
      </c>
      <c r="B359" s="7" t="s">
        <v>305</v>
      </c>
      <c r="C359">
        <v>1</v>
      </c>
      <c r="D359">
        <v>126011884</v>
      </c>
      <c r="E359" s="8">
        <v>46027.697222222225</v>
      </c>
      <c r="F359" s="8">
        <v>46029.572222222225</v>
      </c>
      <c r="G359">
        <v>1</v>
      </c>
      <c r="H359">
        <v>2</v>
      </c>
      <c r="I359" t="str">
        <f t="shared" si="12"/>
        <v>63072026010600615601</v>
      </c>
      <c r="J359" t="str">
        <f>VLOOKUP(A359,Comuna_empresa!B:E,4,0)</f>
        <v>San Antonio</v>
      </c>
    </row>
    <row r="360" spans="1:10">
      <c r="A360">
        <v>5601</v>
      </c>
      <c r="B360" s="7" t="s">
        <v>306</v>
      </c>
      <c r="C360">
        <v>1</v>
      </c>
      <c r="D360">
        <v>126011885</v>
      </c>
      <c r="E360" s="8">
        <v>46027.697222222225</v>
      </c>
      <c r="F360" s="8">
        <v>46029.572222222225</v>
      </c>
      <c r="G360">
        <v>1</v>
      </c>
      <c r="H360">
        <v>2</v>
      </c>
      <c r="I360" t="str">
        <f t="shared" si="12"/>
        <v>63072026010600625601</v>
      </c>
      <c r="J360" t="str">
        <f>VLOOKUP(A360,Comuna_empresa!B:E,4,0)</f>
        <v>San Antonio</v>
      </c>
    </row>
    <row r="361" spans="1:10">
      <c r="A361">
        <v>5601</v>
      </c>
      <c r="B361" s="7" t="s">
        <v>307</v>
      </c>
      <c r="C361">
        <v>1</v>
      </c>
      <c r="D361">
        <v>126011886</v>
      </c>
      <c r="E361" s="8">
        <v>46027.697222222225</v>
      </c>
      <c r="F361" s="8">
        <v>46029.572222222225</v>
      </c>
      <c r="G361">
        <v>1</v>
      </c>
      <c r="H361">
        <v>2</v>
      </c>
      <c r="I361" t="str">
        <f t="shared" si="12"/>
        <v>63072026010600675601</v>
      </c>
      <c r="J361" t="str">
        <f>VLOOKUP(A361,Comuna_empresa!B:E,4,0)</f>
        <v>San Antonio</v>
      </c>
    </row>
    <row r="362" spans="1:10">
      <c r="A362">
        <v>5601</v>
      </c>
      <c r="B362" s="7" t="s">
        <v>308</v>
      </c>
      <c r="C362">
        <v>1</v>
      </c>
      <c r="D362">
        <v>126011887</v>
      </c>
      <c r="E362" s="8">
        <v>46027.697222222225</v>
      </c>
      <c r="F362" s="8">
        <v>46029.572222222225</v>
      </c>
      <c r="G362">
        <v>1</v>
      </c>
      <c r="H362">
        <v>2</v>
      </c>
      <c r="I362" t="str">
        <f t="shared" si="12"/>
        <v>63072026010600695601</v>
      </c>
      <c r="J362" t="str">
        <f>VLOOKUP(A362,Comuna_empresa!B:E,4,0)</f>
        <v>San Antonio</v>
      </c>
    </row>
    <row r="363" spans="1:10">
      <c r="A363">
        <v>5601</v>
      </c>
      <c r="B363" s="7" t="s">
        <v>309</v>
      </c>
      <c r="C363">
        <v>1</v>
      </c>
      <c r="D363">
        <v>126011888</v>
      </c>
      <c r="E363" s="8">
        <v>46027.697222222225</v>
      </c>
      <c r="F363" s="8">
        <v>46029.572222222225</v>
      </c>
      <c r="G363">
        <v>1</v>
      </c>
      <c r="H363">
        <v>2</v>
      </c>
      <c r="I363" t="str">
        <f t="shared" si="12"/>
        <v>63072026010600705601</v>
      </c>
      <c r="J363" t="str">
        <f>VLOOKUP(A363,Comuna_empresa!B:E,4,0)</f>
        <v>San Antonio</v>
      </c>
    </row>
    <row r="364" spans="1:10">
      <c r="A364">
        <v>5601</v>
      </c>
      <c r="B364" s="7" t="s">
        <v>309</v>
      </c>
      <c r="C364">
        <v>1</v>
      </c>
      <c r="D364">
        <v>126011889</v>
      </c>
      <c r="E364" s="8">
        <v>46027.697222222225</v>
      </c>
      <c r="F364" s="8">
        <v>46029.572222222225</v>
      </c>
      <c r="G364">
        <v>1</v>
      </c>
      <c r="H364">
        <v>2</v>
      </c>
      <c r="I364" t="str">
        <f t="shared" si="12"/>
        <v>63072026010600705601</v>
      </c>
      <c r="J364" t="str">
        <f>VLOOKUP(A364,Comuna_empresa!B:E,4,0)</f>
        <v>San Antonio</v>
      </c>
    </row>
    <row r="365" spans="1:10">
      <c r="A365">
        <v>5601</v>
      </c>
      <c r="B365" s="7" t="s">
        <v>310</v>
      </c>
      <c r="C365">
        <v>1</v>
      </c>
      <c r="D365">
        <v>126011890</v>
      </c>
      <c r="E365" s="8">
        <v>46027.697222222225</v>
      </c>
      <c r="F365" s="8">
        <v>46029.572222222225</v>
      </c>
      <c r="G365">
        <v>1</v>
      </c>
      <c r="H365">
        <v>2</v>
      </c>
      <c r="I365" t="str">
        <f t="shared" si="12"/>
        <v>63072026010700265601</v>
      </c>
      <c r="J365" t="str">
        <f>VLOOKUP(A365,Comuna_empresa!B:E,4,0)</f>
        <v>San Antonio</v>
      </c>
    </row>
    <row r="366" spans="1:10">
      <c r="A366">
        <v>5601</v>
      </c>
      <c r="B366" s="7" t="s">
        <v>311</v>
      </c>
      <c r="C366">
        <v>1</v>
      </c>
      <c r="D366">
        <v>126011892</v>
      </c>
      <c r="E366" s="8">
        <v>46027.697222222225</v>
      </c>
      <c r="F366" s="8">
        <v>46029.572222222225</v>
      </c>
      <c r="G366">
        <v>4</v>
      </c>
      <c r="H366">
        <v>2</v>
      </c>
      <c r="I366" t="str">
        <f t="shared" si="12"/>
        <v>63072026010700715601</v>
      </c>
      <c r="J366" t="str">
        <f>VLOOKUP(A366,Comuna_empresa!B:E,4,0)</f>
        <v>San Antonio</v>
      </c>
    </row>
    <row r="367" spans="1:10">
      <c r="A367">
        <v>5601</v>
      </c>
      <c r="B367" s="7" t="s">
        <v>311</v>
      </c>
      <c r="C367">
        <v>1</v>
      </c>
      <c r="D367">
        <v>126011893</v>
      </c>
      <c r="E367" s="8">
        <v>46027.697222222225</v>
      </c>
      <c r="F367" s="8">
        <v>46029.572222222225</v>
      </c>
      <c r="G367">
        <v>4</v>
      </c>
      <c r="H367">
        <v>2</v>
      </c>
      <c r="I367" t="str">
        <f t="shared" si="12"/>
        <v>63072026010700715601</v>
      </c>
      <c r="J367" t="str">
        <f>VLOOKUP(A367,Comuna_empresa!B:E,4,0)</f>
        <v>San Antonio</v>
      </c>
    </row>
    <row r="368" spans="1:10">
      <c r="A368">
        <v>5601</v>
      </c>
      <c r="B368" s="7" t="s">
        <v>311</v>
      </c>
      <c r="C368">
        <v>1</v>
      </c>
      <c r="D368">
        <v>126011894</v>
      </c>
      <c r="E368" s="8">
        <v>46027.697222222225</v>
      </c>
      <c r="F368" s="8">
        <v>46029.572222222225</v>
      </c>
      <c r="G368">
        <v>4</v>
      </c>
      <c r="H368">
        <v>2</v>
      </c>
      <c r="I368" t="str">
        <f t="shared" ref="I368:I373" si="13">"6307"&amp;MID(B368,7,18)&amp;A368</f>
        <v>63072026010700715601</v>
      </c>
      <c r="J368" t="str">
        <f>VLOOKUP(A368,Comuna_empresa!B:E,4,0)</f>
        <v>San Antonio</v>
      </c>
    </row>
    <row r="369" spans="1:10">
      <c r="A369">
        <v>5601</v>
      </c>
      <c r="B369" s="7" t="s">
        <v>311</v>
      </c>
      <c r="C369">
        <v>1</v>
      </c>
      <c r="D369">
        <v>126011895</v>
      </c>
      <c r="E369" s="8">
        <v>46027.697222222225</v>
      </c>
      <c r="F369" s="8">
        <v>46029.572222222225</v>
      </c>
      <c r="G369">
        <v>4</v>
      </c>
      <c r="H369">
        <v>2</v>
      </c>
      <c r="I369" t="str">
        <f t="shared" si="13"/>
        <v>63072026010700715601</v>
      </c>
      <c r="J369" t="str">
        <f>VLOOKUP(A369,Comuna_empresa!B:E,4,0)</f>
        <v>San Antonio</v>
      </c>
    </row>
    <row r="370" spans="1:10">
      <c r="A370">
        <v>5601</v>
      </c>
      <c r="B370" s="7" t="s">
        <v>312</v>
      </c>
      <c r="C370">
        <v>1</v>
      </c>
      <c r="D370">
        <v>126011896</v>
      </c>
      <c r="E370" s="8">
        <v>46027.697222222225</v>
      </c>
      <c r="F370" s="8">
        <v>46029.572222222225</v>
      </c>
      <c r="G370">
        <v>1</v>
      </c>
      <c r="H370">
        <v>2</v>
      </c>
      <c r="I370" t="str">
        <f t="shared" si="13"/>
        <v>63072026010700735601</v>
      </c>
      <c r="J370" t="str">
        <f>VLOOKUP(A370,Comuna_empresa!B:E,4,0)</f>
        <v>San Antonio</v>
      </c>
    </row>
    <row r="371" spans="1:10">
      <c r="A371">
        <v>5601</v>
      </c>
      <c r="B371" s="7" t="s">
        <v>313</v>
      </c>
      <c r="C371">
        <v>1</v>
      </c>
      <c r="D371">
        <v>126011897</v>
      </c>
      <c r="E371" s="8">
        <v>46027.697222222225</v>
      </c>
      <c r="F371" s="8">
        <v>46029.572222222225</v>
      </c>
      <c r="G371">
        <v>1</v>
      </c>
      <c r="H371">
        <v>2</v>
      </c>
      <c r="I371" t="str">
        <f t="shared" si="13"/>
        <v>63072026010700745601</v>
      </c>
      <c r="J371" t="str">
        <f>VLOOKUP(A371,Comuna_empresa!B:E,4,0)</f>
        <v>San Antonio</v>
      </c>
    </row>
    <row r="372" spans="1:10">
      <c r="A372">
        <v>5601</v>
      </c>
      <c r="B372" s="7" t="s">
        <v>314</v>
      </c>
      <c r="C372">
        <v>1</v>
      </c>
      <c r="D372">
        <v>126011898</v>
      </c>
      <c r="E372" s="8">
        <v>46027.697222222225</v>
      </c>
      <c r="F372" s="8">
        <v>46029.572222222225</v>
      </c>
      <c r="G372">
        <v>1</v>
      </c>
      <c r="H372">
        <v>2</v>
      </c>
      <c r="I372" t="str">
        <f t="shared" si="13"/>
        <v>63072026010700755601</v>
      </c>
      <c r="J372" t="str">
        <f>VLOOKUP(A372,Comuna_empresa!B:E,4,0)</f>
        <v>San Antonio</v>
      </c>
    </row>
    <row r="373" spans="1:10">
      <c r="A373">
        <v>5601</v>
      </c>
      <c r="B373" s="7" t="s">
        <v>315</v>
      </c>
      <c r="C373">
        <v>1</v>
      </c>
      <c r="D373">
        <v>126011899</v>
      </c>
      <c r="E373" s="8">
        <v>46027.697222222225</v>
      </c>
      <c r="F373" s="8">
        <v>46029.572222222225</v>
      </c>
      <c r="G373">
        <v>1</v>
      </c>
      <c r="H373">
        <v>2</v>
      </c>
      <c r="I373" t="str">
        <f t="shared" si="13"/>
        <v>63072026010700775601</v>
      </c>
      <c r="J373" t="str">
        <f>VLOOKUP(A373,Comuna_empresa!B:E,4,0)</f>
        <v>San Antonio</v>
      </c>
    </row>
    <row r="374" spans="1:10">
      <c r="A374">
        <v>5603</v>
      </c>
      <c r="B374" s="7" t="s">
        <v>321</v>
      </c>
      <c r="C374">
        <v>1</v>
      </c>
      <c r="D374">
        <v>126012041</v>
      </c>
      <c r="E374" s="8">
        <v>46025.46875</v>
      </c>
      <c r="F374" s="8">
        <v>46027.34375</v>
      </c>
      <c r="G374">
        <v>4</v>
      </c>
      <c r="H374">
        <v>2</v>
      </c>
      <c r="I374" t="str">
        <f t="shared" ref="I374:I399" si="14">"6307"&amp;MID(B374,7,18)&amp;A374</f>
        <v>63072026010300265603</v>
      </c>
      <c r="J374" t="str">
        <f>VLOOKUP(A374,Comuna_empresa!B:E,4,0)</f>
        <v>Cartagena</v>
      </c>
    </row>
    <row r="375" spans="1:10">
      <c r="A375">
        <v>5603</v>
      </c>
      <c r="B375" s="7" t="s">
        <v>322</v>
      </c>
      <c r="C375">
        <v>1</v>
      </c>
      <c r="D375">
        <v>126012042</v>
      </c>
      <c r="E375" s="8">
        <v>46025.46875</v>
      </c>
      <c r="F375" s="8">
        <v>46027.34375</v>
      </c>
      <c r="G375">
        <v>1</v>
      </c>
      <c r="H375">
        <v>2</v>
      </c>
      <c r="I375" t="str">
        <f t="shared" si="14"/>
        <v>63072026010300305603</v>
      </c>
      <c r="J375" t="str">
        <f>VLOOKUP(A375,Comuna_empresa!B:E,4,0)</f>
        <v>Cartagena</v>
      </c>
    </row>
    <row r="376" spans="1:10">
      <c r="A376">
        <v>5603</v>
      </c>
      <c r="B376" s="7" t="s">
        <v>323</v>
      </c>
      <c r="C376">
        <v>1</v>
      </c>
      <c r="D376">
        <v>126012043</v>
      </c>
      <c r="E376" s="8">
        <v>46025.46875</v>
      </c>
      <c r="F376" s="8">
        <v>46027.34375</v>
      </c>
      <c r="G376">
        <v>1</v>
      </c>
      <c r="H376">
        <v>2</v>
      </c>
      <c r="I376" t="str">
        <f t="shared" si="14"/>
        <v>63072026010300495603</v>
      </c>
      <c r="J376" t="str">
        <f>VLOOKUP(A376,Comuna_empresa!B:E,4,0)</f>
        <v>Cartagena</v>
      </c>
    </row>
    <row r="377" spans="1:10">
      <c r="A377">
        <v>5603</v>
      </c>
      <c r="B377" s="7" t="s">
        <v>284</v>
      </c>
      <c r="C377">
        <v>1</v>
      </c>
      <c r="D377">
        <v>126012044</v>
      </c>
      <c r="E377" s="8">
        <v>46025.46875</v>
      </c>
      <c r="F377" s="8">
        <v>46027.34375</v>
      </c>
      <c r="G377">
        <v>4</v>
      </c>
      <c r="H377">
        <v>2</v>
      </c>
      <c r="I377" t="str">
        <f t="shared" si="14"/>
        <v>63072026010300525603</v>
      </c>
      <c r="J377" t="str">
        <f>VLOOKUP(A377,Comuna_empresa!B:E,4,0)</f>
        <v>Cartagena</v>
      </c>
    </row>
    <row r="378" spans="1:10">
      <c r="A378">
        <v>5603</v>
      </c>
      <c r="B378" s="7" t="s">
        <v>284</v>
      </c>
      <c r="C378">
        <v>1</v>
      </c>
      <c r="D378">
        <v>126012045</v>
      </c>
      <c r="E378" s="8">
        <v>46025.46875</v>
      </c>
      <c r="F378" s="8">
        <v>46027.34375</v>
      </c>
      <c r="G378">
        <v>4</v>
      </c>
      <c r="H378">
        <v>2</v>
      </c>
      <c r="I378" t="str">
        <f t="shared" si="14"/>
        <v>63072026010300525603</v>
      </c>
      <c r="J378" t="str">
        <f>VLOOKUP(A378,Comuna_empresa!B:E,4,0)</f>
        <v>Cartagena</v>
      </c>
    </row>
    <row r="379" spans="1:10">
      <c r="A379">
        <v>5603</v>
      </c>
      <c r="B379" s="7" t="s">
        <v>284</v>
      </c>
      <c r="C379">
        <v>1</v>
      </c>
      <c r="D379">
        <v>126012046</v>
      </c>
      <c r="E379" s="8">
        <v>46025.46875</v>
      </c>
      <c r="F379" s="8">
        <v>46027.34375</v>
      </c>
      <c r="G379">
        <v>4</v>
      </c>
      <c r="H379">
        <v>2</v>
      </c>
      <c r="I379" t="str">
        <f t="shared" si="14"/>
        <v>63072026010300525603</v>
      </c>
      <c r="J379" t="str">
        <f>VLOOKUP(A379,Comuna_empresa!B:E,4,0)</f>
        <v>Cartagena</v>
      </c>
    </row>
    <row r="380" spans="1:10">
      <c r="A380">
        <v>5603</v>
      </c>
      <c r="B380" s="7" t="s">
        <v>284</v>
      </c>
      <c r="C380">
        <v>1</v>
      </c>
      <c r="D380">
        <v>126012047</v>
      </c>
      <c r="E380" s="8">
        <v>46025.46875</v>
      </c>
      <c r="F380" s="8">
        <v>46027.34375</v>
      </c>
      <c r="G380">
        <v>4</v>
      </c>
      <c r="H380">
        <v>2</v>
      </c>
      <c r="I380" t="str">
        <f t="shared" si="14"/>
        <v>63072026010300525603</v>
      </c>
      <c r="J380" t="str">
        <f>VLOOKUP(A380,Comuna_empresa!B:E,4,0)</f>
        <v>Cartagena</v>
      </c>
    </row>
    <row r="381" spans="1:10">
      <c r="A381">
        <v>5603</v>
      </c>
      <c r="B381" s="7" t="s">
        <v>284</v>
      </c>
      <c r="C381">
        <v>1</v>
      </c>
      <c r="D381">
        <v>126012048</v>
      </c>
      <c r="E381" s="8">
        <v>46025.46875</v>
      </c>
      <c r="F381" s="8">
        <v>46027.34375</v>
      </c>
      <c r="G381">
        <v>4</v>
      </c>
      <c r="H381">
        <v>2</v>
      </c>
      <c r="I381" t="str">
        <f t="shared" si="14"/>
        <v>63072026010300525603</v>
      </c>
      <c r="J381" t="str">
        <f>VLOOKUP(A381,Comuna_empresa!B:E,4,0)</f>
        <v>Cartagena</v>
      </c>
    </row>
    <row r="382" spans="1:10">
      <c r="A382">
        <v>5603</v>
      </c>
      <c r="B382" s="7" t="s">
        <v>284</v>
      </c>
      <c r="C382">
        <v>1</v>
      </c>
      <c r="D382">
        <v>126012049</v>
      </c>
      <c r="E382" s="8">
        <v>46025.46875</v>
      </c>
      <c r="F382" s="8">
        <v>46027.34375</v>
      </c>
      <c r="G382">
        <v>4</v>
      </c>
      <c r="H382">
        <v>2</v>
      </c>
      <c r="I382" t="str">
        <f t="shared" si="14"/>
        <v>63072026010300525603</v>
      </c>
      <c r="J382" t="str">
        <f>VLOOKUP(A382,Comuna_empresa!B:E,4,0)</f>
        <v>Cartagena</v>
      </c>
    </row>
    <row r="383" spans="1:10">
      <c r="A383">
        <v>5603</v>
      </c>
      <c r="B383" s="7" t="s">
        <v>284</v>
      </c>
      <c r="C383">
        <v>1</v>
      </c>
      <c r="D383">
        <v>126012050</v>
      </c>
      <c r="E383" s="8">
        <v>46025.46875</v>
      </c>
      <c r="F383" s="8">
        <v>46027.34375</v>
      </c>
      <c r="G383">
        <v>4</v>
      </c>
      <c r="H383">
        <v>2</v>
      </c>
      <c r="I383" t="str">
        <f t="shared" si="14"/>
        <v>63072026010300525603</v>
      </c>
      <c r="J383" t="str">
        <f>VLOOKUP(A383,Comuna_empresa!B:E,4,0)</f>
        <v>Cartagena</v>
      </c>
    </row>
    <row r="384" spans="1:10">
      <c r="A384">
        <v>5603</v>
      </c>
      <c r="B384" s="7" t="s">
        <v>324</v>
      </c>
      <c r="C384">
        <v>1</v>
      </c>
      <c r="D384">
        <v>126012051</v>
      </c>
      <c r="E384" s="8">
        <v>46025.46875</v>
      </c>
      <c r="F384" s="8">
        <v>46027.34375</v>
      </c>
      <c r="G384">
        <v>1</v>
      </c>
      <c r="H384">
        <v>2</v>
      </c>
      <c r="I384" t="str">
        <f t="shared" si="14"/>
        <v>63072026010400095603</v>
      </c>
      <c r="J384" t="str">
        <f>VLOOKUP(A384,Comuna_empresa!B:E,4,0)</f>
        <v>Cartagena</v>
      </c>
    </row>
    <row r="385" spans="1:10">
      <c r="A385">
        <v>5603</v>
      </c>
      <c r="B385" s="7" t="s">
        <v>325</v>
      </c>
      <c r="C385">
        <v>1</v>
      </c>
      <c r="D385">
        <v>126012052</v>
      </c>
      <c r="E385" s="8">
        <v>46025.46875</v>
      </c>
      <c r="F385" s="8">
        <v>46027.34375</v>
      </c>
      <c r="G385">
        <v>1</v>
      </c>
      <c r="H385">
        <v>2</v>
      </c>
      <c r="I385" t="str">
        <f t="shared" si="14"/>
        <v>63072026010400295603</v>
      </c>
      <c r="J385" t="str">
        <f>VLOOKUP(A385,Comuna_empresa!B:E,4,0)</f>
        <v>Cartagena</v>
      </c>
    </row>
    <row r="386" spans="1:10">
      <c r="A386">
        <v>5603</v>
      </c>
      <c r="B386" s="7" t="s">
        <v>326</v>
      </c>
      <c r="C386">
        <v>1</v>
      </c>
      <c r="D386">
        <v>126012053</v>
      </c>
      <c r="E386" s="8">
        <v>46025.46875</v>
      </c>
      <c r="F386" s="8">
        <v>46027.34375</v>
      </c>
      <c r="G386">
        <v>1</v>
      </c>
      <c r="H386">
        <v>2</v>
      </c>
      <c r="I386" t="str">
        <f t="shared" si="14"/>
        <v>63072026010400475603</v>
      </c>
      <c r="J386" t="str">
        <f>VLOOKUP(A386,Comuna_empresa!B:E,4,0)</f>
        <v>Cartagena</v>
      </c>
    </row>
    <row r="387" spans="1:10">
      <c r="A387">
        <v>5603</v>
      </c>
      <c r="B387" s="7" t="s">
        <v>327</v>
      </c>
      <c r="C387">
        <v>1</v>
      </c>
      <c r="D387">
        <v>126012054</v>
      </c>
      <c r="E387" s="8">
        <v>46025.46875</v>
      </c>
      <c r="F387" s="8">
        <v>46027.34375</v>
      </c>
      <c r="G387">
        <v>1</v>
      </c>
      <c r="H387">
        <v>2</v>
      </c>
      <c r="I387" t="str">
        <f t="shared" si="14"/>
        <v>63072026010400495603</v>
      </c>
      <c r="J387" t="str">
        <f>VLOOKUP(A387,Comuna_empresa!B:E,4,0)</f>
        <v>Cartagena</v>
      </c>
    </row>
    <row r="388" spans="1:10">
      <c r="A388">
        <v>5603</v>
      </c>
      <c r="B388" s="7" t="s">
        <v>328</v>
      </c>
      <c r="C388">
        <v>1</v>
      </c>
      <c r="D388">
        <v>126012055</v>
      </c>
      <c r="E388" s="8">
        <v>46025.46875</v>
      </c>
      <c r="F388" s="8">
        <v>46027.34375</v>
      </c>
      <c r="G388">
        <v>1</v>
      </c>
      <c r="H388">
        <v>2</v>
      </c>
      <c r="I388" t="str">
        <f t="shared" si="14"/>
        <v>63072026010400545603</v>
      </c>
      <c r="J388" t="str">
        <f>VLOOKUP(A388,Comuna_empresa!B:E,4,0)</f>
        <v>Cartagena</v>
      </c>
    </row>
    <row r="389" spans="1:10">
      <c r="A389">
        <v>5603</v>
      </c>
      <c r="B389" s="7" t="s">
        <v>285</v>
      </c>
      <c r="C389">
        <v>1</v>
      </c>
      <c r="D389">
        <v>126012056</v>
      </c>
      <c r="E389" s="8">
        <v>46025.46875</v>
      </c>
      <c r="F389" s="8">
        <v>46027.34375</v>
      </c>
      <c r="G389">
        <v>1</v>
      </c>
      <c r="H389">
        <v>2</v>
      </c>
      <c r="I389" t="str">
        <f t="shared" si="14"/>
        <v>63072026010500035603</v>
      </c>
      <c r="J389" t="str">
        <f>VLOOKUP(A389,Comuna_empresa!B:E,4,0)</f>
        <v>Cartagena</v>
      </c>
    </row>
    <row r="390" spans="1:10">
      <c r="A390">
        <v>5603</v>
      </c>
      <c r="B390" s="7" t="s">
        <v>286</v>
      </c>
      <c r="C390">
        <v>1</v>
      </c>
      <c r="D390">
        <v>126012058</v>
      </c>
      <c r="E390" s="8">
        <v>46027.697222222225</v>
      </c>
      <c r="F390" s="8">
        <v>46029.572222222225</v>
      </c>
      <c r="G390">
        <v>1</v>
      </c>
      <c r="H390">
        <v>2</v>
      </c>
      <c r="I390" t="str">
        <f t="shared" si="14"/>
        <v>63072026010500335603</v>
      </c>
      <c r="J390" t="str">
        <f>VLOOKUP(A390,Comuna_empresa!B:E,4,0)</f>
        <v>Cartagena</v>
      </c>
    </row>
    <row r="391" spans="1:10">
      <c r="A391">
        <v>5603</v>
      </c>
      <c r="B391" s="7" t="s">
        <v>287</v>
      </c>
      <c r="C391">
        <v>1</v>
      </c>
      <c r="D391">
        <v>126012059</v>
      </c>
      <c r="E391" s="8">
        <v>46027.697222222225</v>
      </c>
      <c r="F391" s="8">
        <v>46029.572222222225</v>
      </c>
      <c r="G391">
        <v>1</v>
      </c>
      <c r="H391">
        <v>2</v>
      </c>
      <c r="I391" t="str">
        <f t="shared" si="14"/>
        <v>63072026010500345603</v>
      </c>
      <c r="J391" t="str">
        <f>VLOOKUP(A391,Comuna_empresa!B:E,4,0)</f>
        <v>Cartagena</v>
      </c>
    </row>
    <row r="392" spans="1:10">
      <c r="A392">
        <v>5603</v>
      </c>
      <c r="B392" s="7" t="s">
        <v>329</v>
      </c>
      <c r="C392">
        <v>1</v>
      </c>
      <c r="D392">
        <v>126012060</v>
      </c>
      <c r="E392" s="8">
        <v>46027.697222222225</v>
      </c>
      <c r="F392" s="8">
        <v>46029.572222222225</v>
      </c>
      <c r="G392">
        <v>1</v>
      </c>
      <c r="H392">
        <v>2</v>
      </c>
      <c r="I392" t="str">
        <f t="shared" si="14"/>
        <v>63072026010500505603</v>
      </c>
      <c r="J392" t="str">
        <f>VLOOKUP(A392,Comuna_empresa!B:E,4,0)</f>
        <v>Cartagena</v>
      </c>
    </row>
    <row r="393" spans="1:10">
      <c r="A393">
        <v>5603</v>
      </c>
      <c r="B393" s="7" t="s">
        <v>330</v>
      </c>
      <c r="C393">
        <v>1</v>
      </c>
      <c r="D393">
        <v>126012061</v>
      </c>
      <c r="E393" s="8">
        <v>46027.697222222225</v>
      </c>
      <c r="F393" s="8">
        <v>46029.572222222225</v>
      </c>
      <c r="G393">
        <v>1</v>
      </c>
      <c r="H393">
        <v>2</v>
      </c>
      <c r="I393" t="str">
        <f t="shared" si="14"/>
        <v>63072026010500595603</v>
      </c>
      <c r="J393" t="str">
        <f>VLOOKUP(A393,Comuna_empresa!B:E,4,0)</f>
        <v>Cartagena</v>
      </c>
    </row>
    <row r="394" spans="1:10">
      <c r="A394">
        <v>5603</v>
      </c>
      <c r="B394" s="7" t="s">
        <v>331</v>
      </c>
      <c r="C394">
        <v>1</v>
      </c>
      <c r="D394">
        <v>126012062</v>
      </c>
      <c r="E394" s="8">
        <v>46027.697222222225</v>
      </c>
      <c r="F394" s="8">
        <v>46029.572222222225</v>
      </c>
      <c r="G394">
        <v>1</v>
      </c>
      <c r="H394">
        <v>2</v>
      </c>
      <c r="I394" t="str">
        <f t="shared" si="14"/>
        <v>63072026010500875603</v>
      </c>
      <c r="J394" t="str">
        <f>VLOOKUP(A394,Comuna_empresa!B:E,4,0)</f>
        <v>Cartagena</v>
      </c>
    </row>
    <row r="395" spans="1:10">
      <c r="A395">
        <v>5603</v>
      </c>
      <c r="B395" s="7" t="s">
        <v>302</v>
      </c>
      <c r="C395">
        <v>1</v>
      </c>
      <c r="D395">
        <v>126012063</v>
      </c>
      <c r="E395" s="8">
        <v>46027.697222222225</v>
      </c>
      <c r="F395" s="8">
        <v>46029.572222222225</v>
      </c>
      <c r="G395">
        <v>1</v>
      </c>
      <c r="H395">
        <v>2</v>
      </c>
      <c r="I395" t="str">
        <f t="shared" si="14"/>
        <v>63072026010600015603</v>
      </c>
      <c r="J395" t="str">
        <f>VLOOKUP(A395,Comuna_empresa!B:E,4,0)</f>
        <v>Cartagena</v>
      </c>
    </row>
    <row r="396" spans="1:10">
      <c r="A396">
        <v>5603</v>
      </c>
      <c r="B396" s="7" t="s">
        <v>332</v>
      </c>
      <c r="C396">
        <v>1</v>
      </c>
      <c r="D396">
        <v>126012064</v>
      </c>
      <c r="E396" s="8">
        <v>46027.697222222225</v>
      </c>
      <c r="F396" s="8">
        <v>46029.572222222225</v>
      </c>
      <c r="G396">
        <v>1</v>
      </c>
      <c r="H396">
        <v>2</v>
      </c>
      <c r="I396" t="str">
        <f t="shared" si="14"/>
        <v>63072026010600305603</v>
      </c>
      <c r="J396" t="str">
        <f>VLOOKUP(A396,Comuna_empresa!B:E,4,0)</f>
        <v>Cartagena</v>
      </c>
    </row>
    <row r="397" spans="1:10">
      <c r="A397">
        <v>5603</v>
      </c>
      <c r="B397" s="7" t="s">
        <v>333</v>
      </c>
      <c r="C397">
        <v>1</v>
      </c>
      <c r="D397">
        <v>126012065</v>
      </c>
      <c r="E397" s="8">
        <v>46027.697222222225</v>
      </c>
      <c r="F397" s="8">
        <v>46029.572222222225</v>
      </c>
      <c r="G397">
        <v>1</v>
      </c>
      <c r="H397">
        <v>2</v>
      </c>
      <c r="I397" t="str">
        <f t="shared" si="14"/>
        <v>63072026010600645603</v>
      </c>
      <c r="J397" t="str">
        <f>VLOOKUP(A397,Comuna_empresa!B:E,4,0)</f>
        <v>Cartagena</v>
      </c>
    </row>
    <row r="398" spans="1:10">
      <c r="A398">
        <v>5603</v>
      </c>
      <c r="B398" s="7" t="s">
        <v>334</v>
      </c>
      <c r="C398">
        <v>1</v>
      </c>
      <c r="D398">
        <v>126012066</v>
      </c>
      <c r="E398" s="8">
        <v>46027.697222222225</v>
      </c>
      <c r="F398" s="8">
        <v>46029.572222222225</v>
      </c>
      <c r="G398">
        <v>1</v>
      </c>
      <c r="H398">
        <v>2</v>
      </c>
      <c r="I398" t="str">
        <f t="shared" si="14"/>
        <v>63072026010700065603</v>
      </c>
      <c r="J398" t="str">
        <f>VLOOKUP(A398,Comuna_empresa!B:E,4,0)</f>
        <v>Cartagena</v>
      </c>
    </row>
    <row r="399" spans="1:10">
      <c r="A399">
        <v>5603</v>
      </c>
      <c r="B399" s="7" t="s">
        <v>335</v>
      </c>
      <c r="C399">
        <v>1</v>
      </c>
      <c r="D399">
        <v>126012070</v>
      </c>
      <c r="E399" s="8">
        <v>46027.697222222225</v>
      </c>
      <c r="F399" s="8">
        <v>46029.572222222225</v>
      </c>
      <c r="G399">
        <v>1</v>
      </c>
      <c r="H399">
        <v>2</v>
      </c>
      <c r="I399" t="str">
        <f t="shared" si="14"/>
        <v>63072026010700875603</v>
      </c>
      <c r="J399" t="str">
        <f>VLOOKUP(A399,Comuna_empresa!B:E,4,0)</f>
        <v>Cartagena</v>
      </c>
    </row>
    <row r="400" spans="1:10">
      <c r="A400">
        <v>5605</v>
      </c>
      <c r="B400" s="7" t="s">
        <v>284</v>
      </c>
      <c r="C400">
        <v>1</v>
      </c>
      <c r="D400">
        <v>126012132</v>
      </c>
      <c r="E400" s="8">
        <v>46025.46875</v>
      </c>
      <c r="F400" s="8">
        <v>46028.84375</v>
      </c>
      <c r="G400">
        <v>4</v>
      </c>
      <c r="H400">
        <v>2</v>
      </c>
      <c r="I400" t="str">
        <f t="shared" ref="I400" si="15">"6307"&amp;MID(B400,7,18)&amp;A400</f>
        <v>63072026010300525605</v>
      </c>
      <c r="J400" t="str">
        <f>VLOOKUP(A400,Comuna_empresa!B:E,4,0)</f>
        <v>El Tabo</v>
      </c>
    </row>
    <row r="401" spans="1:10">
      <c r="A401">
        <v>5606</v>
      </c>
      <c r="B401" s="7" t="s">
        <v>316</v>
      </c>
      <c r="C401">
        <v>1</v>
      </c>
      <c r="D401">
        <v>126012212</v>
      </c>
      <c r="E401" s="8">
        <v>46052.364583333336</v>
      </c>
      <c r="F401" s="8">
        <v>46055.364583333336</v>
      </c>
      <c r="G401">
        <v>1</v>
      </c>
      <c r="H401">
        <v>2</v>
      </c>
      <c r="I401" t="str">
        <f t="shared" ref="I401:I402" si="16">"6307"&amp;MID(B401,7,18)&amp;A401</f>
        <v>63072026013000055606</v>
      </c>
      <c r="J401" t="str">
        <f>VLOOKUP(A401,Comuna_empresa!B:E,4,0)</f>
        <v>Santo Domingo</v>
      </c>
    </row>
    <row r="402" spans="1:10">
      <c r="A402">
        <v>5606</v>
      </c>
      <c r="B402" s="7" t="s">
        <v>317</v>
      </c>
      <c r="C402">
        <v>1</v>
      </c>
      <c r="D402">
        <v>126012213</v>
      </c>
      <c r="E402" s="8">
        <v>46052.364583333336</v>
      </c>
      <c r="F402" s="8">
        <v>46055.364583333336</v>
      </c>
      <c r="G402">
        <v>1</v>
      </c>
      <c r="H402">
        <v>2</v>
      </c>
      <c r="I402" t="str">
        <f t="shared" si="16"/>
        <v>63072026013000065606</v>
      </c>
      <c r="J402" t="str">
        <f>VLOOKUP(A402,Comuna_empresa!B:E,4,0)</f>
        <v>Santo Domingo</v>
      </c>
    </row>
    <row r="403" spans="1:10">
      <c r="A403">
        <v>5606</v>
      </c>
      <c r="B403" s="7" t="s">
        <v>318</v>
      </c>
      <c r="C403">
        <v>1</v>
      </c>
      <c r="D403">
        <v>126012214</v>
      </c>
      <c r="E403" s="8">
        <v>46052.364583333336</v>
      </c>
      <c r="F403" s="8">
        <v>46055.364583333336</v>
      </c>
      <c r="G403">
        <v>4</v>
      </c>
      <c r="H403">
        <v>2</v>
      </c>
      <c r="I403" t="str">
        <f t="shared" ref="I403:I421" si="17">"6307"&amp;MID(B403,7,18)&amp;A403</f>
        <v>63072026013000125606</v>
      </c>
      <c r="J403" t="str">
        <f>VLOOKUP(A403,Comuna_empresa!B:E,4,0)</f>
        <v>Santo Domingo</v>
      </c>
    </row>
    <row r="404" spans="1:10">
      <c r="A404">
        <v>5606</v>
      </c>
      <c r="B404" s="7" t="s">
        <v>318</v>
      </c>
      <c r="C404">
        <v>1</v>
      </c>
      <c r="D404">
        <v>126012215</v>
      </c>
      <c r="E404" s="8">
        <v>46052.364583333336</v>
      </c>
      <c r="F404" s="8">
        <v>46055.364583333336</v>
      </c>
      <c r="G404">
        <v>4</v>
      </c>
      <c r="H404">
        <v>2</v>
      </c>
      <c r="I404" t="str">
        <f t="shared" si="17"/>
        <v>63072026013000125606</v>
      </c>
      <c r="J404" t="str">
        <f>VLOOKUP(A404,Comuna_empresa!B:E,4,0)</f>
        <v>Santo Domingo</v>
      </c>
    </row>
    <row r="405" spans="1:10">
      <c r="A405">
        <v>5606</v>
      </c>
      <c r="B405" s="7" t="s">
        <v>319</v>
      </c>
      <c r="C405">
        <v>1</v>
      </c>
      <c r="D405">
        <v>126012216</v>
      </c>
      <c r="E405" s="8">
        <v>46052.364583333336</v>
      </c>
      <c r="F405" s="8">
        <v>46055.364583333336</v>
      </c>
      <c r="G405">
        <v>8</v>
      </c>
      <c r="H405">
        <v>2</v>
      </c>
      <c r="I405" t="str">
        <f t="shared" si="17"/>
        <v>63072026013000285606</v>
      </c>
      <c r="J405" t="str">
        <f>VLOOKUP(A405,Comuna_empresa!B:E,4,0)</f>
        <v>Santo Domingo</v>
      </c>
    </row>
    <row r="406" spans="1:10">
      <c r="A406">
        <v>5606</v>
      </c>
      <c r="B406" s="7" t="s">
        <v>320</v>
      </c>
      <c r="C406">
        <v>1</v>
      </c>
      <c r="D406">
        <v>126012217</v>
      </c>
      <c r="E406" s="8">
        <v>46052.364583333336</v>
      </c>
      <c r="F406" s="8">
        <v>46055.364583333336</v>
      </c>
      <c r="G406">
        <v>1</v>
      </c>
      <c r="H406">
        <v>2</v>
      </c>
      <c r="I406" t="str">
        <f t="shared" si="17"/>
        <v>63072026013100175606</v>
      </c>
      <c r="J406" t="str">
        <f>VLOOKUP(A406,Comuna_empresa!B:E,4,0)</f>
        <v>Santo Domingo</v>
      </c>
    </row>
    <row r="407" spans="1:10">
      <c r="A407">
        <v>5701</v>
      </c>
      <c r="B407" s="7" t="s">
        <v>207</v>
      </c>
      <c r="C407">
        <v>1</v>
      </c>
      <c r="D407">
        <v>126012233</v>
      </c>
      <c r="E407" s="8">
        <v>46026.658333333333</v>
      </c>
      <c r="F407" s="8">
        <v>46028.533333333333</v>
      </c>
      <c r="G407">
        <v>4</v>
      </c>
      <c r="H407">
        <v>2</v>
      </c>
      <c r="I407" t="str">
        <f t="shared" si="17"/>
        <v>63072026010400265701</v>
      </c>
      <c r="J407" t="str">
        <f>VLOOKUP(A407,Comuna_empresa!B:E,4,0)</f>
        <v>San Felipe</v>
      </c>
    </row>
    <row r="408" spans="1:10">
      <c r="A408">
        <v>5701</v>
      </c>
      <c r="B408" s="7" t="s">
        <v>207</v>
      </c>
      <c r="C408">
        <v>1</v>
      </c>
      <c r="D408">
        <v>126012234</v>
      </c>
      <c r="E408" s="8">
        <v>46026.658333333333</v>
      </c>
      <c r="F408" s="8">
        <v>46028.533333333333</v>
      </c>
      <c r="G408">
        <v>4</v>
      </c>
      <c r="H408">
        <v>2</v>
      </c>
      <c r="I408" t="str">
        <f t="shared" si="17"/>
        <v>63072026010400265701</v>
      </c>
      <c r="J408" t="str">
        <f>VLOOKUP(A408,Comuna_empresa!B:E,4,0)</f>
        <v>San Felipe</v>
      </c>
    </row>
    <row r="409" spans="1:10">
      <c r="A409">
        <v>5701</v>
      </c>
      <c r="B409" s="7" t="s">
        <v>207</v>
      </c>
      <c r="C409">
        <v>1</v>
      </c>
      <c r="D409">
        <v>126012235</v>
      </c>
      <c r="E409" s="8">
        <v>46026.658333333333</v>
      </c>
      <c r="F409" s="8">
        <v>46028.533333333333</v>
      </c>
      <c r="G409">
        <v>4</v>
      </c>
      <c r="H409">
        <v>2</v>
      </c>
      <c r="I409" t="str">
        <f t="shared" si="17"/>
        <v>63072026010400265701</v>
      </c>
      <c r="J409" t="str">
        <f>VLOOKUP(A409,Comuna_empresa!B:E,4,0)</f>
        <v>San Felipe</v>
      </c>
    </row>
    <row r="410" spans="1:10">
      <c r="A410">
        <v>5701</v>
      </c>
      <c r="B410" s="7" t="s">
        <v>207</v>
      </c>
      <c r="C410">
        <v>1</v>
      </c>
      <c r="D410">
        <v>126012236</v>
      </c>
      <c r="E410" s="8">
        <v>46026.658333333333</v>
      </c>
      <c r="F410" s="8">
        <v>46028.533333333333</v>
      </c>
      <c r="G410">
        <v>4</v>
      </c>
      <c r="H410">
        <v>2</v>
      </c>
      <c r="I410" t="str">
        <f t="shared" si="17"/>
        <v>63072026010400265701</v>
      </c>
      <c r="J410" t="str">
        <f>VLOOKUP(A410,Comuna_empresa!B:E,4,0)</f>
        <v>San Felipe</v>
      </c>
    </row>
    <row r="411" spans="1:10">
      <c r="A411">
        <v>5701</v>
      </c>
      <c r="B411" s="7" t="s">
        <v>336</v>
      </c>
      <c r="C411">
        <v>1</v>
      </c>
      <c r="D411">
        <v>126012237</v>
      </c>
      <c r="E411" s="8">
        <v>46026.658333333333</v>
      </c>
      <c r="F411" s="8">
        <v>46028.533333333333</v>
      </c>
      <c r="G411">
        <v>1</v>
      </c>
      <c r="H411">
        <v>2</v>
      </c>
      <c r="I411" t="str">
        <f t="shared" si="17"/>
        <v>63072026010400325701</v>
      </c>
      <c r="J411" t="str">
        <f>VLOOKUP(A411,Comuna_empresa!B:E,4,0)</f>
        <v>San Felipe</v>
      </c>
    </row>
    <row r="412" spans="1:10">
      <c r="A412">
        <v>5701</v>
      </c>
      <c r="B412" s="7" t="s">
        <v>337</v>
      </c>
      <c r="C412">
        <v>1</v>
      </c>
      <c r="D412">
        <v>126012238</v>
      </c>
      <c r="E412" s="8">
        <v>46026.658333333333</v>
      </c>
      <c r="F412" s="8">
        <v>46028.533333333333</v>
      </c>
      <c r="G412">
        <v>1</v>
      </c>
      <c r="H412">
        <v>2</v>
      </c>
      <c r="I412" t="str">
        <f t="shared" si="17"/>
        <v>63072026010400415701</v>
      </c>
      <c r="J412" t="str">
        <f>VLOOKUP(A412,Comuna_empresa!B:E,4,0)</f>
        <v>San Felipe</v>
      </c>
    </row>
    <row r="413" spans="1:10">
      <c r="A413">
        <v>5701</v>
      </c>
      <c r="B413" s="7" t="s">
        <v>208</v>
      </c>
      <c r="C413">
        <v>1</v>
      </c>
      <c r="D413">
        <v>126012239</v>
      </c>
      <c r="E413" s="8">
        <v>46026.658333333333</v>
      </c>
      <c r="F413" s="8">
        <v>46028.533333333333</v>
      </c>
      <c r="G413">
        <v>4</v>
      </c>
      <c r="H413">
        <v>2</v>
      </c>
      <c r="I413" t="str">
        <f t="shared" si="17"/>
        <v>63072026010400525701</v>
      </c>
      <c r="J413" t="str">
        <f>VLOOKUP(A413,Comuna_empresa!B:E,4,0)</f>
        <v>San Felipe</v>
      </c>
    </row>
    <row r="414" spans="1:10">
      <c r="A414">
        <v>5701</v>
      </c>
      <c r="B414" s="7" t="s">
        <v>338</v>
      </c>
      <c r="C414">
        <v>1</v>
      </c>
      <c r="D414">
        <v>126012240</v>
      </c>
      <c r="E414" s="8">
        <v>46026.658333333333</v>
      </c>
      <c r="F414" s="8">
        <v>46028.533333333333</v>
      </c>
      <c r="G414">
        <v>1</v>
      </c>
      <c r="H414">
        <v>2</v>
      </c>
      <c r="I414" t="str">
        <f t="shared" si="17"/>
        <v>63072026010500385701</v>
      </c>
      <c r="J414" t="str">
        <f>VLOOKUP(A414,Comuna_empresa!B:E,4,0)</f>
        <v>San Felipe</v>
      </c>
    </row>
    <row r="415" spans="1:10">
      <c r="A415">
        <v>5701</v>
      </c>
      <c r="B415" s="7" t="s">
        <v>339</v>
      </c>
      <c r="C415">
        <v>1</v>
      </c>
      <c r="D415">
        <v>126012241</v>
      </c>
      <c r="E415" s="8">
        <v>46026.658333333333</v>
      </c>
      <c r="F415" s="8">
        <v>46028.533333333333</v>
      </c>
      <c r="G415">
        <v>1</v>
      </c>
      <c r="H415">
        <v>2</v>
      </c>
      <c r="I415" t="str">
        <f t="shared" si="17"/>
        <v>63072026010500415701</v>
      </c>
      <c r="J415" t="str">
        <f>VLOOKUP(A415,Comuna_empresa!B:E,4,0)</f>
        <v>San Felipe</v>
      </c>
    </row>
    <row r="416" spans="1:10">
      <c r="A416">
        <v>5701</v>
      </c>
      <c r="B416" s="7" t="s">
        <v>340</v>
      </c>
      <c r="C416">
        <v>1</v>
      </c>
      <c r="D416">
        <v>126012242</v>
      </c>
      <c r="E416" s="8">
        <v>46026.658333333333</v>
      </c>
      <c r="F416" s="8">
        <v>46028.533333333333</v>
      </c>
      <c r="G416">
        <v>1</v>
      </c>
      <c r="H416">
        <v>2</v>
      </c>
      <c r="I416" t="str">
        <f t="shared" si="17"/>
        <v>63072026010500465701</v>
      </c>
      <c r="J416" t="str">
        <f>VLOOKUP(A416,Comuna_empresa!B:E,4,0)</f>
        <v>San Felipe</v>
      </c>
    </row>
    <row r="417" spans="1:10">
      <c r="A417">
        <v>5701</v>
      </c>
      <c r="B417" s="7" t="s">
        <v>341</v>
      </c>
      <c r="C417">
        <v>1</v>
      </c>
      <c r="D417">
        <v>126012243</v>
      </c>
      <c r="E417" s="8">
        <v>46026.658333333333</v>
      </c>
      <c r="F417" s="8">
        <v>46028.533333333333</v>
      </c>
      <c r="G417">
        <v>1</v>
      </c>
      <c r="H417">
        <v>2</v>
      </c>
      <c r="I417" t="str">
        <f t="shared" si="17"/>
        <v>63072026010500555701</v>
      </c>
      <c r="J417" t="str">
        <f>VLOOKUP(A417,Comuna_empresa!B:E,4,0)</f>
        <v>San Felipe</v>
      </c>
    </row>
    <row r="418" spans="1:10">
      <c r="A418">
        <v>5701</v>
      </c>
      <c r="B418" s="7" t="s">
        <v>342</v>
      </c>
      <c r="C418">
        <v>1</v>
      </c>
      <c r="D418">
        <v>126012244</v>
      </c>
      <c r="E418" s="8">
        <v>46026.658333333333</v>
      </c>
      <c r="F418" s="8">
        <v>46028.533333333333</v>
      </c>
      <c r="G418">
        <v>1</v>
      </c>
      <c r="H418">
        <v>2</v>
      </c>
      <c r="I418" t="str">
        <f t="shared" si="17"/>
        <v>63072026010500635701</v>
      </c>
      <c r="J418" t="str">
        <f>VLOOKUP(A418,Comuna_empresa!B:E,4,0)</f>
        <v>San Felipe</v>
      </c>
    </row>
    <row r="419" spans="1:10">
      <c r="A419">
        <v>5701</v>
      </c>
      <c r="B419" s="7" t="s">
        <v>343</v>
      </c>
      <c r="C419">
        <v>1</v>
      </c>
      <c r="D419">
        <v>126012245</v>
      </c>
      <c r="E419" s="8">
        <v>46026.658333333333</v>
      </c>
      <c r="F419" s="8">
        <v>46028.533333333333</v>
      </c>
      <c r="G419">
        <v>1</v>
      </c>
      <c r="H419">
        <v>2</v>
      </c>
      <c r="I419" t="str">
        <f t="shared" si="17"/>
        <v>63072026010500645701</v>
      </c>
      <c r="J419" t="str">
        <f>VLOOKUP(A419,Comuna_empresa!B:E,4,0)</f>
        <v>San Felipe</v>
      </c>
    </row>
    <row r="420" spans="1:10">
      <c r="A420">
        <v>5701</v>
      </c>
      <c r="B420" s="7" t="s">
        <v>344</v>
      </c>
      <c r="C420">
        <v>1</v>
      </c>
      <c r="D420">
        <v>126012246</v>
      </c>
      <c r="E420" s="8">
        <v>46026.658333333333</v>
      </c>
      <c r="F420" s="8">
        <v>46028.533333333333</v>
      </c>
      <c r="G420">
        <v>1</v>
      </c>
      <c r="H420">
        <v>2</v>
      </c>
      <c r="I420" t="str">
        <f t="shared" si="17"/>
        <v>63072026010500845701</v>
      </c>
      <c r="J420" t="str">
        <f>VLOOKUP(A420,Comuna_empresa!B:E,4,0)</f>
        <v>San Felipe</v>
      </c>
    </row>
    <row r="421" spans="1:10">
      <c r="A421">
        <v>5701</v>
      </c>
      <c r="B421" s="7" t="s">
        <v>345</v>
      </c>
      <c r="C421">
        <v>1</v>
      </c>
      <c r="D421">
        <v>126012247</v>
      </c>
      <c r="E421" s="8">
        <v>46026.658333333333</v>
      </c>
      <c r="F421" s="8">
        <v>46028.533333333333</v>
      </c>
      <c r="G421">
        <v>1</v>
      </c>
      <c r="H421">
        <v>2</v>
      </c>
      <c r="I421" t="str">
        <f t="shared" si="17"/>
        <v>63072026010600145701</v>
      </c>
      <c r="J421" t="str">
        <f>VLOOKUP(A421,Comuna_empresa!B:E,4,0)</f>
        <v>San Felipe</v>
      </c>
    </row>
    <row r="422" spans="1:10">
      <c r="A422">
        <v>5703</v>
      </c>
      <c r="B422" s="7" t="s">
        <v>348</v>
      </c>
      <c r="C422">
        <v>1</v>
      </c>
      <c r="D422">
        <v>126012422</v>
      </c>
      <c r="E422" s="8">
        <v>46037.727083333331</v>
      </c>
      <c r="F422" s="8">
        <v>46040.227083333331</v>
      </c>
      <c r="G422">
        <v>4</v>
      </c>
      <c r="H422">
        <v>2</v>
      </c>
      <c r="I422" t="str">
        <f t="shared" ref="I422:I429" si="18">"6307"&amp;MID(B422,7,18)&amp;A422</f>
        <v>63072026011500295703</v>
      </c>
      <c r="J422" t="str">
        <f>VLOOKUP(A422,Comuna_empresa!B:E,4,0)</f>
        <v>Llaillay</v>
      </c>
    </row>
    <row r="423" spans="1:10">
      <c r="A423">
        <v>5703</v>
      </c>
      <c r="B423" s="7" t="s">
        <v>349</v>
      </c>
      <c r="C423">
        <v>1</v>
      </c>
      <c r="D423">
        <v>126012423</v>
      </c>
      <c r="E423" s="8">
        <v>46037.727083333331</v>
      </c>
      <c r="F423" s="8">
        <v>46040.227083333331</v>
      </c>
      <c r="G423">
        <v>4</v>
      </c>
      <c r="H423">
        <v>2</v>
      </c>
      <c r="I423" t="str">
        <f t="shared" si="18"/>
        <v>63072026011500305703</v>
      </c>
      <c r="J423" t="str">
        <f>VLOOKUP(A423,Comuna_empresa!B:E,4,0)</f>
        <v>Llaillay</v>
      </c>
    </row>
    <row r="424" spans="1:10">
      <c r="A424">
        <v>5703</v>
      </c>
      <c r="B424" s="7" t="s">
        <v>350</v>
      </c>
      <c r="C424">
        <v>1</v>
      </c>
      <c r="D424">
        <v>126012424</v>
      </c>
      <c r="E424" s="8">
        <v>46037.727083333331</v>
      </c>
      <c r="F424" s="8">
        <v>46040.227083333331</v>
      </c>
      <c r="G424">
        <v>4</v>
      </c>
      <c r="H424">
        <v>2</v>
      </c>
      <c r="I424" t="str">
        <f t="shared" si="18"/>
        <v>63072026011500385703</v>
      </c>
      <c r="J424" t="str">
        <f>VLOOKUP(A424,Comuna_empresa!B:E,4,0)</f>
        <v>Llaillay</v>
      </c>
    </row>
    <row r="425" spans="1:10">
      <c r="A425">
        <v>5703</v>
      </c>
      <c r="B425" s="7" t="s">
        <v>350</v>
      </c>
      <c r="C425">
        <v>1</v>
      </c>
      <c r="D425">
        <v>126012425</v>
      </c>
      <c r="E425" s="8">
        <v>46037.727083333331</v>
      </c>
      <c r="F425" s="8">
        <v>46040.227083333331</v>
      </c>
      <c r="G425">
        <v>4</v>
      </c>
      <c r="H425">
        <v>2</v>
      </c>
      <c r="I425" t="str">
        <f t="shared" si="18"/>
        <v>63072026011500385703</v>
      </c>
      <c r="J425" t="str">
        <f>VLOOKUP(A425,Comuna_empresa!B:E,4,0)</f>
        <v>Llaillay</v>
      </c>
    </row>
    <row r="426" spans="1:10">
      <c r="A426">
        <v>5703</v>
      </c>
      <c r="B426" s="7" t="s">
        <v>351</v>
      </c>
      <c r="C426">
        <v>1</v>
      </c>
      <c r="D426">
        <v>126012426</v>
      </c>
      <c r="E426" s="8">
        <v>46037.727083333331</v>
      </c>
      <c r="F426" s="8">
        <v>46040.227083333331</v>
      </c>
      <c r="G426">
        <v>1</v>
      </c>
      <c r="H426">
        <v>2</v>
      </c>
      <c r="I426" t="str">
        <f t="shared" si="18"/>
        <v>63072026011500395703</v>
      </c>
      <c r="J426" t="str">
        <f>VLOOKUP(A426,Comuna_empresa!B:E,4,0)</f>
        <v>Llaillay</v>
      </c>
    </row>
    <row r="427" spans="1:10">
      <c r="A427">
        <v>5703</v>
      </c>
      <c r="B427" s="7" t="s">
        <v>352</v>
      </c>
      <c r="C427">
        <v>1</v>
      </c>
      <c r="D427">
        <v>126012427</v>
      </c>
      <c r="E427" s="8">
        <v>46037.727083333331</v>
      </c>
      <c r="F427" s="8">
        <v>46040.227083333331</v>
      </c>
      <c r="G427">
        <v>1</v>
      </c>
      <c r="H427">
        <v>2</v>
      </c>
      <c r="I427" t="str">
        <f t="shared" si="18"/>
        <v>63072026011500585703</v>
      </c>
      <c r="J427" t="str">
        <f>VLOOKUP(A427,Comuna_empresa!B:E,4,0)</f>
        <v>Llaillay</v>
      </c>
    </row>
    <row r="428" spans="1:10">
      <c r="A428">
        <v>5703</v>
      </c>
      <c r="B428" s="7" t="s">
        <v>353</v>
      </c>
      <c r="C428">
        <v>1</v>
      </c>
      <c r="D428">
        <v>126012428</v>
      </c>
      <c r="E428" s="8">
        <v>46037.727083333331</v>
      </c>
      <c r="F428" s="8">
        <v>46040.227083333331</v>
      </c>
      <c r="G428">
        <v>1</v>
      </c>
      <c r="H428">
        <v>2</v>
      </c>
      <c r="I428" t="str">
        <f t="shared" si="18"/>
        <v>63072026011600425703</v>
      </c>
      <c r="J428" t="str">
        <f>VLOOKUP(A428,Comuna_empresa!B:E,4,0)</f>
        <v>Llaillay</v>
      </c>
    </row>
    <row r="429" spans="1:10">
      <c r="A429">
        <v>5703</v>
      </c>
      <c r="B429" s="7" t="s">
        <v>354</v>
      </c>
      <c r="C429">
        <v>1</v>
      </c>
      <c r="D429">
        <v>126012429</v>
      </c>
      <c r="E429" s="8">
        <v>46037.727083333331</v>
      </c>
      <c r="F429" s="8">
        <v>46040.227083333331</v>
      </c>
      <c r="G429">
        <v>1</v>
      </c>
      <c r="H429">
        <v>2</v>
      </c>
      <c r="I429" t="str">
        <f t="shared" si="18"/>
        <v>63072026011700045703</v>
      </c>
      <c r="J429" t="str">
        <f>VLOOKUP(A429,Comuna_empresa!B:E,4,0)</f>
        <v>Llaillay</v>
      </c>
    </row>
    <row r="430" spans="1:10">
      <c r="A430">
        <v>5705</v>
      </c>
      <c r="B430" s="7" t="s">
        <v>346</v>
      </c>
      <c r="C430">
        <v>1</v>
      </c>
      <c r="D430">
        <v>126012506</v>
      </c>
      <c r="E430" s="8">
        <v>46049.984027777777</v>
      </c>
      <c r="F430" s="8">
        <v>46052.484027777777</v>
      </c>
      <c r="G430">
        <v>4</v>
      </c>
      <c r="H430">
        <v>2</v>
      </c>
      <c r="I430" t="str">
        <f t="shared" ref="I430:I444" si="19">"6307"&amp;MID(B430,7,18)&amp;A430</f>
        <v>63072026012700595705</v>
      </c>
      <c r="J430" t="str">
        <f>VLOOKUP(A430,Comuna_empresa!B:E,4,0)</f>
        <v>Putaendo</v>
      </c>
    </row>
    <row r="431" spans="1:10">
      <c r="A431">
        <v>5705</v>
      </c>
      <c r="B431" s="7" t="s">
        <v>346</v>
      </c>
      <c r="C431">
        <v>1</v>
      </c>
      <c r="D431">
        <v>126012507</v>
      </c>
      <c r="E431" s="8">
        <v>46049.984027777777</v>
      </c>
      <c r="F431" s="8">
        <v>46052.484027777777</v>
      </c>
      <c r="G431">
        <v>4</v>
      </c>
      <c r="H431">
        <v>2</v>
      </c>
      <c r="I431" t="str">
        <f t="shared" si="19"/>
        <v>63072026012700595705</v>
      </c>
      <c r="J431" t="str">
        <f>VLOOKUP(A431,Comuna_empresa!B:E,4,0)</f>
        <v>Putaendo</v>
      </c>
    </row>
    <row r="432" spans="1:10">
      <c r="A432">
        <v>5705</v>
      </c>
      <c r="B432" s="7" t="s">
        <v>355</v>
      </c>
      <c r="C432">
        <v>1</v>
      </c>
      <c r="D432">
        <v>126012508</v>
      </c>
      <c r="E432" s="8">
        <v>46049.984027777777</v>
      </c>
      <c r="F432" s="8">
        <v>46052.484027777777</v>
      </c>
      <c r="G432">
        <v>1</v>
      </c>
      <c r="H432">
        <v>2</v>
      </c>
      <c r="I432" t="str">
        <f t="shared" si="19"/>
        <v>63072026012800095705</v>
      </c>
      <c r="J432" t="str">
        <f>VLOOKUP(A432,Comuna_empresa!B:E,4,0)</f>
        <v>Putaendo</v>
      </c>
    </row>
    <row r="433" spans="1:10">
      <c r="A433">
        <v>5705</v>
      </c>
      <c r="B433" s="7" t="s">
        <v>356</v>
      </c>
      <c r="C433">
        <v>1</v>
      </c>
      <c r="D433">
        <v>126012509</v>
      </c>
      <c r="E433" s="8">
        <v>46049.984027777777</v>
      </c>
      <c r="F433" s="8">
        <v>46052.484027777777</v>
      </c>
      <c r="G433">
        <v>1</v>
      </c>
      <c r="H433">
        <v>2</v>
      </c>
      <c r="I433" t="str">
        <f t="shared" si="19"/>
        <v>63072026012800595705</v>
      </c>
      <c r="J433" t="str">
        <f>VLOOKUP(A433,Comuna_empresa!B:E,4,0)</f>
        <v>Putaendo</v>
      </c>
    </row>
    <row r="434" spans="1:10">
      <c r="A434">
        <v>5705</v>
      </c>
      <c r="B434" s="7" t="s">
        <v>357</v>
      </c>
      <c r="C434">
        <v>1</v>
      </c>
      <c r="D434">
        <v>126012510</v>
      </c>
      <c r="E434" s="8">
        <v>46049.984027777777</v>
      </c>
      <c r="F434" s="8">
        <v>46052.484027777777</v>
      </c>
      <c r="G434">
        <v>1</v>
      </c>
      <c r="H434">
        <v>2</v>
      </c>
      <c r="I434" t="str">
        <f t="shared" si="19"/>
        <v>63072026012900215705</v>
      </c>
      <c r="J434" t="str">
        <f>VLOOKUP(A434,Comuna_empresa!B:E,4,0)</f>
        <v>Putaendo</v>
      </c>
    </row>
    <row r="435" spans="1:10">
      <c r="A435">
        <v>5705</v>
      </c>
      <c r="B435" s="7" t="s">
        <v>358</v>
      </c>
      <c r="C435">
        <v>1</v>
      </c>
      <c r="D435">
        <v>126012511</v>
      </c>
      <c r="E435" s="8">
        <v>46049.984027777777</v>
      </c>
      <c r="F435" s="8">
        <v>46052.484027777777</v>
      </c>
      <c r="G435">
        <v>1</v>
      </c>
      <c r="H435">
        <v>2</v>
      </c>
      <c r="I435" t="str">
        <f t="shared" si="19"/>
        <v>63072026012900305705</v>
      </c>
      <c r="J435" t="str">
        <f>VLOOKUP(A435,Comuna_empresa!B:E,4,0)</f>
        <v>Putaendo</v>
      </c>
    </row>
    <row r="436" spans="1:10">
      <c r="A436">
        <v>5705</v>
      </c>
      <c r="B436" s="7" t="s">
        <v>347</v>
      </c>
      <c r="C436">
        <v>1</v>
      </c>
      <c r="D436">
        <v>126012512</v>
      </c>
      <c r="E436" s="8">
        <v>46049.984027777777</v>
      </c>
      <c r="F436" s="8">
        <v>46052.484027777777</v>
      </c>
      <c r="G436">
        <v>1</v>
      </c>
      <c r="H436">
        <v>2</v>
      </c>
      <c r="I436" t="str">
        <f t="shared" si="19"/>
        <v>63072026012900525705</v>
      </c>
      <c r="J436" t="str">
        <f>VLOOKUP(A436,Comuna_empresa!B:E,4,0)</f>
        <v>Putaendo</v>
      </c>
    </row>
    <row r="437" spans="1:10">
      <c r="A437">
        <v>5705</v>
      </c>
      <c r="B437" s="7" t="s">
        <v>359</v>
      </c>
      <c r="C437">
        <v>1</v>
      </c>
      <c r="D437">
        <v>126012513</v>
      </c>
      <c r="E437" s="8">
        <v>46049.984027777777</v>
      </c>
      <c r="F437" s="8">
        <v>46052.484027777777</v>
      </c>
      <c r="G437">
        <v>1</v>
      </c>
      <c r="H437">
        <v>2</v>
      </c>
      <c r="I437" t="str">
        <f t="shared" si="19"/>
        <v>63072026012900605705</v>
      </c>
      <c r="J437" t="str">
        <f>VLOOKUP(A437,Comuna_empresa!B:E,4,0)</f>
        <v>Putaendo</v>
      </c>
    </row>
    <row r="438" spans="1:10">
      <c r="A438">
        <v>5706</v>
      </c>
      <c r="B438" s="7" t="s">
        <v>209</v>
      </c>
      <c r="C438">
        <v>1</v>
      </c>
      <c r="D438">
        <v>126012518</v>
      </c>
      <c r="E438" s="8">
        <v>46029.702777777777</v>
      </c>
      <c r="F438" s="8">
        <v>46032.202777777777</v>
      </c>
      <c r="G438">
        <v>1</v>
      </c>
      <c r="H438">
        <v>2</v>
      </c>
      <c r="I438" t="str">
        <f t="shared" si="19"/>
        <v>63072026010700395706</v>
      </c>
      <c r="J438" t="str">
        <f>VLOOKUP(A438,Comuna_empresa!B:E,4,0)</f>
        <v>Santa María</v>
      </c>
    </row>
    <row r="439" spans="1:10">
      <c r="A439">
        <v>5706</v>
      </c>
      <c r="B439" s="7" t="s">
        <v>360</v>
      </c>
      <c r="C439">
        <v>1</v>
      </c>
      <c r="D439">
        <v>126012519</v>
      </c>
      <c r="E439" s="8">
        <v>46029.702777777777</v>
      </c>
      <c r="F439" s="8">
        <v>46032.202777777777</v>
      </c>
      <c r="G439">
        <v>1</v>
      </c>
      <c r="H439">
        <v>2</v>
      </c>
      <c r="I439" t="str">
        <f t="shared" si="19"/>
        <v>63072026010700445706</v>
      </c>
      <c r="J439" t="str">
        <f>VLOOKUP(A439,Comuna_empresa!B:E,4,0)</f>
        <v>Santa María</v>
      </c>
    </row>
    <row r="440" spans="1:10">
      <c r="A440">
        <v>5706</v>
      </c>
      <c r="B440" s="7" t="s">
        <v>210</v>
      </c>
      <c r="C440">
        <v>1</v>
      </c>
      <c r="D440">
        <v>126012520</v>
      </c>
      <c r="E440" s="8">
        <v>46029.702777777777</v>
      </c>
      <c r="F440" s="8">
        <v>46032.202777777777</v>
      </c>
      <c r="G440">
        <v>4</v>
      </c>
      <c r="H440">
        <v>2</v>
      </c>
      <c r="I440" t="str">
        <f t="shared" si="19"/>
        <v>63072026010800385706</v>
      </c>
      <c r="J440" t="str">
        <f>VLOOKUP(A440,Comuna_empresa!B:E,4,0)</f>
        <v>Santa María</v>
      </c>
    </row>
    <row r="441" spans="1:10">
      <c r="A441">
        <v>5706</v>
      </c>
      <c r="B441" s="7" t="s">
        <v>215</v>
      </c>
      <c r="C441">
        <v>1</v>
      </c>
      <c r="D441">
        <v>126012521</v>
      </c>
      <c r="E441" s="8">
        <v>46029.702777777777</v>
      </c>
      <c r="F441" s="8">
        <v>46032.202777777777</v>
      </c>
      <c r="G441">
        <v>4</v>
      </c>
      <c r="H441">
        <v>2</v>
      </c>
      <c r="I441" t="str">
        <f t="shared" si="19"/>
        <v>63072026010800525706</v>
      </c>
      <c r="J441" t="str">
        <f>VLOOKUP(A441,Comuna_empresa!B:E,4,0)</f>
        <v>Santa María</v>
      </c>
    </row>
    <row r="442" spans="1:10">
      <c r="A442">
        <v>5706</v>
      </c>
      <c r="B442" s="7" t="s">
        <v>223</v>
      </c>
      <c r="C442">
        <v>1</v>
      </c>
      <c r="D442">
        <v>126012522</v>
      </c>
      <c r="E442" s="8">
        <v>46029.702777777777</v>
      </c>
      <c r="F442" s="8">
        <v>46032.202777777777</v>
      </c>
      <c r="G442">
        <v>4</v>
      </c>
      <c r="H442">
        <v>2</v>
      </c>
      <c r="I442" t="str">
        <f t="shared" si="19"/>
        <v>63072026010800745706</v>
      </c>
      <c r="J442" t="str">
        <f>VLOOKUP(A442,Comuna_empresa!B:E,4,0)</f>
        <v>Santa María</v>
      </c>
    </row>
    <row r="443" spans="1:10">
      <c r="A443">
        <v>5706</v>
      </c>
      <c r="B443" s="7" t="s">
        <v>361</v>
      </c>
      <c r="C443">
        <v>1</v>
      </c>
      <c r="D443">
        <v>126012523</v>
      </c>
      <c r="E443" s="8">
        <v>46029.702777777777</v>
      </c>
      <c r="F443" s="8">
        <v>46032.202777777777</v>
      </c>
      <c r="G443">
        <v>4</v>
      </c>
      <c r="H443">
        <v>2</v>
      </c>
      <c r="I443" t="str">
        <f t="shared" si="19"/>
        <v>63072026010801285706</v>
      </c>
      <c r="J443" t="str">
        <f>VLOOKUP(A443,Comuna_empresa!B:E,4,0)</f>
        <v>Santa María</v>
      </c>
    </row>
    <row r="444" spans="1:10">
      <c r="A444">
        <v>5706</v>
      </c>
      <c r="B444" s="7" t="s">
        <v>362</v>
      </c>
      <c r="C444">
        <v>1</v>
      </c>
      <c r="D444">
        <v>126012524</v>
      </c>
      <c r="E444" s="8">
        <v>46029.702777777777</v>
      </c>
      <c r="F444" s="8">
        <v>46032.202777777777</v>
      </c>
      <c r="G444">
        <v>1</v>
      </c>
      <c r="H444">
        <v>2</v>
      </c>
      <c r="I444" t="str">
        <f t="shared" si="19"/>
        <v>63072026010801305706</v>
      </c>
      <c r="J444" t="str">
        <f>VLOOKUP(A444,Comuna_empresa!B:E,4,0)</f>
        <v>Santa María</v>
      </c>
    </row>
    <row r="445" spans="1:10">
      <c r="A445">
        <v>5303</v>
      </c>
      <c r="B445" s="7" t="s">
        <v>265</v>
      </c>
      <c r="C445">
        <v>1</v>
      </c>
      <c r="D445">
        <v>126011459</v>
      </c>
      <c r="E445" s="8">
        <v>46041.497916666667</v>
      </c>
      <c r="F445" s="8">
        <v>46044.497916666667</v>
      </c>
      <c r="G445">
        <v>1</v>
      </c>
      <c r="H445">
        <v>2</v>
      </c>
      <c r="I445" t="str">
        <f t="shared" ref="I445:I465" si="20">"6307"&amp;MID(B445,7,18)&amp;A445</f>
        <v>63072026011900775303</v>
      </c>
      <c r="J445" t="str">
        <f>VLOOKUP(A445,Comuna_empresa!B:E,4,0)</f>
        <v>Rinconada</v>
      </c>
    </row>
    <row r="446" spans="1:10">
      <c r="A446">
        <v>5303</v>
      </c>
      <c r="B446" s="7" t="s">
        <v>265</v>
      </c>
      <c r="C446">
        <v>1</v>
      </c>
      <c r="D446">
        <v>126011460</v>
      </c>
      <c r="E446" s="8">
        <v>46041.497916666667</v>
      </c>
      <c r="F446" s="8">
        <v>46044.497916666667</v>
      </c>
      <c r="G446">
        <v>1</v>
      </c>
      <c r="H446">
        <v>2</v>
      </c>
      <c r="I446" t="str">
        <f t="shared" si="20"/>
        <v>63072026011900775303</v>
      </c>
      <c r="J446" t="str">
        <f>VLOOKUP(A446,Comuna_empresa!B:E,4,0)</f>
        <v>Rinconada</v>
      </c>
    </row>
    <row r="447" spans="1:10">
      <c r="A447">
        <v>5303</v>
      </c>
      <c r="B447" s="7" t="s">
        <v>363</v>
      </c>
      <c r="C447">
        <v>1</v>
      </c>
      <c r="D447">
        <v>126011461</v>
      </c>
      <c r="E447" s="8">
        <v>46041.497916666667</v>
      </c>
      <c r="F447" s="8">
        <v>46044.497916666667</v>
      </c>
      <c r="G447">
        <v>1</v>
      </c>
      <c r="H447">
        <v>2</v>
      </c>
      <c r="I447" t="str">
        <f t="shared" si="20"/>
        <v>63072026012100185303</v>
      </c>
      <c r="J447" t="str">
        <f>VLOOKUP(A447,Comuna_empresa!B:E,4,0)</f>
        <v>Rinconada</v>
      </c>
    </row>
    <row r="448" spans="1:10">
      <c r="A448">
        <v>5304</v>
      </c>
      <c r="B448" s="7" t="s">
        <v>210</v>
      </c>
      <c r="C448">
        <v>1</v>
      </c>
      <c r="D448">
        <v>126011486</v>
      </c>
      <c r="E448" s="8">
        <v>46030.727083333331</v>
      </c>
      <c r="F448" s="8">
        <v>46033.727083333331</v>
      </c>
      <c r="G448">
        <v>4</v>
      </c>
      <c r="H448">
        <v>2</v>
      </c>
      <c r="I448" t="str">
        <f t="shared" si="20"/>
        <v>63072026010800385304</v>
      </c>
      <c r="J448" t="str">
        <f>VLOOKUP(A448,Comuna_empresa!B:E,4,0)</f>
        <v>San Esteban</v>
      </c>
    </row>
    <row r="449" spans="1:10">
      <c r="A449">
        <v>5304</v>
      </c>
      <c r="B449" s="7" t="s">
        <v>210</v>
      </c>
      <c r="C449">
        <v>1</v>
      </c>
      <c r="D449">
        <v>126011487</v>
      </c>
      <c r="E449" s="8">
        <v>46030.727083333331</v>
      </c>
      <c r="F449" s="8">
        <v>46033.727083333331</v>
      </c>
      <c r="G449">
        <v>4</v>
      </c>
      <c r="H449">
        <v>2</v>
      </c>
      <c r="I449" t="str">
        <f t="shared" si="20"/>
        <v>63072026010800385304</v>
      </c>
      <c r="J449" t="str">
        <f>VLOOKUP(A449,Comuna_empresa!B:E,4,0)</f>
        <v>San Esteban</v>
      </c>
    </row>
    <row r="450" spans="1:10">
      <c r="A450">
        <v>5304</v>
      </c>
      <c r="B450" s="7" t="s">
        <v>215</v>
      </c>
      <c r="C450">
        <v>1</v>
      </c>
      <c r="D450">
        <v>126011488</v>
      </c>
      <c r="E450" s="8">
        <v>46030.727083333331</v>
      </c>
      <c r="F450" s="8">
        <v>46033.727083333331</v>
      </c>
      <c r="G450">
        <v>4</v>
      </c>
      <c r="H450">
        <v>2</v>
      </c>
      <c r="I450" t="str">
        <f t="shared" si="20"/>
        <v>63072026010800525304</v>
      </c>
      <c r="J450" t="str">
        <f>VLOOKUP(A450,Comuna_empresa!B:E,4,0)</f>
        <v>San Esteban</v>
      </c>
    </row>
    <row r="451" spans="1:10">
      <c r="A451">
        <v>5304</v>
      </c>
      <c r="B451" s="7" t="s">
        <v>220</v>
      </c>
      <c r="C451">
        <v>1</v>
      </c>
      <c r="D451">
        <v>126011489</v>
      </c>
      <c r="E451" s="8">
        <v>46030.727083333331</v>
      </c>
      <c r="F451" s="8">
        <v>46033.727083333331</v>
      </c>
      <c r="G451">
        <v>4</v>
      </c>
      <c r="H451">
        <v>2</v>
      </c>
      <c r="I451" t="str">
        <f t="shared" si="20"/>
        <v>63072026010800695304</v>
      </c>
      <c r="J451" t="str">
        <f>VLOOKUP(A451,Comuna_empresa!B:E,4,0)</f>
        <v>San Esteban</v>
      </c>
    </row>
    <row r="452" spans="1:10">
      <c r="A452">
        <v>5304</v>
      </c>
      <c r="B452" s="7" t="s">
        <v>223</v>
      </c>
      <c r="C452">
        <v>1</v>
      </c>
      <c r="D452">
        <v>126011490</v>
      </c>
      <c r="E452" s="8">
        <v>46030.727083333331</v>
      </c>
      <c r="F452" s="8">
        <v>46033.727083333331</v>
      </c>
      <c r="G452">
        <v>4</v>
      </c>
      <c r="H452">
        <v>2</v>
      </c>
      <c r="I452" t="str">
        <f t="shared" si="20"/>
        <v>63072026010800745304</v>
      </c>
      <c r="J452" t="str">
        <f>VLOOKUP(A452,Comuna_empresa!B:E,4,0)</f>
        <v>San Esteban</v>
      </c>
    </row>
    <row r="453" spans="1:10">
      <c r="A453">
        <v>5304</v>
      </c>
      <c r="B453" s="7" t="s">
        <v>364</v>
      </c>
      <c r="C453">
        <v>1</v>
      </c>
      <c r="D453">
        <v>126011491</v>
      </c>
      <c r="E453" s="8">
        <v>46030.727083333331</v>
      </c>
      <c r="F453" s="8">
        <v>46033.727083333331</v>
      </c>
      <c r="G453">
        <v>1</v>
      </c>
      <c r="H453">
        <v>2</v>
      </c>
      <c r="I453" t="str">
        <f t="shared" si="20"/>
        <v>63072026010801075304</v>
      </c>
      <c r="J453" t="str">
        <f>VLOOKUP(A453,Comuna_empresa!B:E,4,0)</f>
        <v>San Esteban</v>
      </c>
    </row>
    <row r="454" spans="1:10">
      <c r="A454">
        <v>5304</v>
      </c>
      <c r="B454" s="7" t="s">
        <v>365</v>
      </c>
      <c r="C454">
        <v>1</v>
      </c>
      <c r="D454">
        <v>126011492</v>
      </c>
      <c r="E454" s="8">
        <v>46030.727083333331</v>
      </c>
      <c r="F454" s="8">
        <v>46033.727083333331</v>
      </c>
      <c r="G454">
        <v>1</v>
      </c>
      <c r="H454">
        <v>2</v>
      </c>
      <c r="I454" t="str">
        <f t="shared" si="20"/>
        <v>63072026010801085304</v>
      </c>
      <c r="J454" t="str">
        <f>VLOOKUP(A454,Comuna_empresa!B:E,4,0)</f>
        <v>San Esteban</v>
      </c>
    </row>
    <row r="455" spans="1:10">
      <c r="A455">
        <v>5304</v>
      </c>
      <c r="B455" s="7" t="s">
        <v>366</v>
      </c>
      <c r="C455">
        <v>1</v>
      </c>
      <c r="D455">
        <v>126011493</v>
      </c>
      <c r="E455" s="8">
        <v>46030.727083333331</v>
      </c>
      <c r="F455" s="8">
        <v>46033.727083333331</v>
      </c>
      <c r="G455">
        <v>1</v>
      </c>
      <c r="H455">
        <v>2</v>
      </c>
      <c r="I455" t="str">
        <f t="shared" si="20"/>
        <v>63072026010801135304</v>
      </c>
      <c r="J455" t="str">
        <f>VLOOKUP(A455,Comuna_empresa!B:E,4,0)</f>
        <v>San Esteban</v>
      </c>
    </row>
    <row r="456" spans="1:10">
      <c r="A456">
        <v>5304</v>
      </c>
      <c r="B456" s="7" t="s">
        <v>367</v>
      </c>
      <c r="C456">
        <v>1</v>
      </c>
      <c r="D456">
        <v>126011494</v>
      </c>
      <c r="E456" s="8">
        <v>46030.727083333331</v>
      </c>
      <c r="F456" s="8">
        <v>46033.727083333331</v>
      </c>
      <c r="G456">
        <v>1</v>
      </c>
      <c r="H456">
        <v>2</v>
      </c>
      <c r="I456" t="str">
        <f t="shared" si="20"/>
        <v>63072026010801165304</v>
      </c>
      <c r="J456" t="str">
        <f>VLOOKUP(A456,Comuna_empresa!B:E,4,0)</f>
        <v>San Esteban</v>
      </c>
    </row>
    <row r="457" spans="1:10">
      <c r="A457">
        <v>5304</v>
      </c>
      <c r="B457" s="7" t="s">
        <v>368</v>
      </c>
      <c r="C457">
        <v>1</v>
      </c>
      <c r="D457">
        <v>126011495</v>
      </c>
      <c r="E457" s="8">
        <v>46030.727083333331</v>
      </c>
      <c r="F457" s="8">
        <v>46033.727083333331</v>
      </c>
      <c r="G457">
        <v>1</v>
      </c>
      <c r="H457">
        <v>2</v>
      </c>
      <c r="I457" t="str">
        <f t="shared" si="20"/>
        <v>63072026010801205304</v>
      </c>
      <c r="J457" t="str">
        <f>VLOOKUP(A457,Comuna_empresa!B:E,4,0)</f>
        <v>San Esteban</v>
      </c>
    </row>
    <row r="458" spans="1:10">
      <c r="A458">
        <v>5304</v>
      </c>
      <c r="B458" s="7" t="s">
        <v>361</v>
      </c>
      <c r="C458">
        <v>1</v>
      </c>
      <c r="D458">
        <v>126011496</v>
      </c>
      <c r="E458" s="8">
        <v>46030.727083333331</v>
      </c>
      <c r="F458" s="8">
        <v>46033.727083333331</v>
      </c>
      <c r="G458">
        <v>4</v>
      </c>
      <c r="H458">
        <v>2</v>
      </c>
      <c r="I458" t="str">
        <f t="shared" si="20"/>
        <v>63072026010801285304</v>
      </c>
      <c r="J458" t="str">
        <f>VLOOKUP(A458,Comuna_empresa!B:E,4,0)</f>
        <v>San Esteban</v>
      </c>
    </row>
    <row r="459" spans="1:10">
      <c r="A459">
        <v>5304</v>
      </c>
      <c r="B459" s="7" t="s">
        <v>245</v>
      </c>
      <c r="C459">
        <v>1</v>
      </c>
      <c r="D459">
        <v>126011497</v>
      </c>
      <c r="E459" s="8">
        <v>46030.727083333331</v>
      </c>
      <c r="F459" s="8">
        <v>46033.727083333331</v>
      </c>
      <c r="G459">
        <v>4</v>
      </c>
      <c r="H459">
        <v>2</v>
      </c>
      <c r="I459" t="str">
        <f t="shared" si="20"/>
        <v>63072026010801295304</v>
      </c>
      <c r="J459" t="str">
        <f>VLOOKUP(A459,Comuna_empresa!B:E,4,0)</f>
        <v>San Esteban</v>
      </c>
    </row>
    <row r="460" spans="1:10">
      <c r="A460">
        <v>5304</v>
      </c>
      <c r="B460" s="7" t="s">
        <v>362</v>
      </c>
      <c r="C460">
        <v>1</v>
      </c>
      <c r="D460">
        <v>126011498</v>
      </c>
      <c r="E460" s="8">
        <v>46030.727083333331</v>
      </c>
      <c r="F460" s="8">
        <v>46033.727083333331</v>
      </c>
      <c r="G460">
        <v>1</v>
      </c>
      <c r="H460">
        <v>2</v>
      </c>
      <c r="I460" t="str">
        <f t="shared" si="20"/>
        <v>63072026010801305304</v>
      </c>
      <c r="J460" t="str">
        <f>VLOOKUP(A460,Comuna_empresa!B:E,4,0)</f>
        <v>San Esteban</v>
      </c>
    </row>
    <row r="461" spans="1:10">
      <c r="A461">
        <v>5304</v>
      </c>
      <c r="B461" s="7" t="s">
        <v>369</v>
      </c>
      <c r="C461">
        <v>1</v>
      </c>
      <c r="D461">
        <v>126011499</v>
      </c>
      <c r="E461" s="8">
        <v>46030.727083333331</v>
      </c>
      <c r="F461" s="8">
        <v>46033.727083333331</v>
      </c>
      <c r="G461">
        <v>1</v>
      </c>
      <c r="H461">
        <v>2</v>
      </c>
      <c r="I461" t="str">
        <f t="shared" si="20"/>
        <v>63072026010900415304</v>
      </c>
      <c r="J461" t="str">
        <f>VLOOKUP(A461,Comuna_empresa!B:E,4,0)</f>
        <v>San Esteban</v>
      </c>
    </row>
    <row r="462" spans="1:10">
      <c r="A462">
        <v>5304</v>
      </c>
      <c r="B462" s="7" t="s">
        <v>255</v>
      </c>
      <c r="C462">
        <v>1</v>
      </c>
      <c r="D462">
        <v>126011500</v>
      </c>
      <c r="E462" s="8">
        <v>46030.727083333331</v>
      </c>
      <c r="F462" s="8">
        <v>46033.727083333331</v>
      </c>
      <c r="G462">
        <v>1</v>
      </c>
      <c r="H462">
        <v>2</v>
      </c>
      <c r="I462" t="str">
        <f t="shared" si="20"/>
        <v>63072026010900505304</v>
      </c>
      <c r="J462" t="str">
        <f>VLOOKUP(A462,Comuna_empresa!B:E,4,0)</f>
        <v>San Esteban</v>
      </c>
    </row>
    <row r="463" spans="1:10">
      <c r="A463">
        <v>5304</v>
      </c>
      <c r="B463" s="7" t="s">
        <v>370</v>
      </c>
      <c r="C463">
        <v>1</v>
      </c>
      <c r="D463">
        <v>126011501</v>
      </c>
      <c r="E463" s="8">
        <v>46030.727083333331</v>
      </c>
      <c r="F463" s="8">
        <v>46033.727083333331</v>
      </c>
      <c r="G463">
        <v>1</v>
      </c>
      <c r="H463">
        <v>2</v>
      </c>
      <c r="I463" t="str">
        <f t="shared" si="20"/>
        <v>63072026010900575304</v>
      </c>
      <c r="J463" t="str">
        <f>VLOOKUP(A463,Comuna_empresa!B:E,4,0)</f>
        <v>San Esteban</v>
      </c>
    </row>
    <row r="464" spans="1:10">
      <c r="A464">
        <v>5304</v>
      </c>
      <c r="B464" s="7" t="s">
        <v>371</v>
      </c>
      <c r="C464">
        <v>1</v>
      </c>
      <c r="D464">
        <v>126011502</v>
      </c>
      <c r="E464" s="8">
        <v>46030.727083333331</v>
      </c>
      <c r="F464" s="8">
        <v>46033.727083333331</v>
      </c>
      <c r="G464">
        <v>1</v>
      </c>
      <c r="H464">
        <v>2</v>
      </c>
      <c r="I464" t="str">
        <f t="shared" si="20"/>
        <v>63072026010900935304</v>
      </c>
      <c r="J464" t="str">
        <f>VLOOKUP(A464,Comuna_empresa!B:E,4,0)</f>
        <v>San Esteban</v>
      </c>
    </row>
    <row r="465" spans="1:10">
      <c r="A465">
        <v>5304</v>
      </c>
      <c r="B465" s="7" t="s">
        <v>372</v>
      </c>
      <c r="C465">
        <v>1</v>
      </c>
      <c r="D465">
        <v>126011503</v>
      </c>
      <c r="E465" s="8">
        <v>46030.727083333331</v>
      </c>
      <c r="F465" s="8">
        <v>46033.727083333331</v>
      </c>
      <c r="G465">
        <v>1</v>
      </c>
      <c r="H465">
        <v>2</v>
      </c>
      <c r="I465" t="str">
        <f t="shared" si="20"/>
        <v>63072026011000145304</v>
      </c>
      <c r="J465" t="str">
        <f>VLOOKUP(A465,Comuna_empresa!B:E,4,0)</f>
        <v>San Esteban</v>
      </c>
    </row>
    <row r="466" spans="1:10">
      <c r="A466">
        <v>5501</v>
      </c>
      <c r="B466" s="7" t="s">
        <v>373</v>
      </c>
      <c r="C466">
        <v>1</v>
      </c>
      <c r="D466" s="5">
        <v>126021291</v>
      </c>
      <c r="E466" s="6"/>
      <c r="F466" s="6">
        <v>46057.144444444442</v>
      </c>
      <c r="G466">
        <v>1</v>
      </c>
      <c r="H466">
        <v>2</v>
      </c>
      <c r="I466" t="str">
        <f t="shared" ref="I466:I471" si="21">"6307"&amp;MID(B466,7,18)&amp;A466</f>
        <v>63072026020200115501</v>
      </c>
      <c r="J466" t="str">
        <f>VLOOKUP(A466,Comuna_empresa!B:E,4,0)</f>
        <v>Quillota</v>
      </c>
    </row>
    <row r="467" spans="1:10">
      <c r="A467">
        <v>5501</v>
      </c>
      <c r="B467" s="7" t="s">
        <v>374</v>
      </c>
      <c r="C467">
        <v>1</v>
      </c>
      <c r="D467" s="5">
        <v>126021292</v>
      </c>
      <c r="E467" s="6"/>
      <c r="F467" s="6">
        <v>46057.144444444442</v>
      </c>
      <c r="G467">
        <v>1</v>
      </c>
      <c r="H467">
        <v>2</v>
      </c>
      <c r="I467" t="str">
        <f t="shared" si="21"/>
        <v>63072026020200175501</v>
      </c>
      <c r="J467" t="str">
        <f>VLOOKUP(A467,Comuna_empresa!B:E,4,0)</f>
        <v>Quillota</v>
      </c>
    </row>
    <row r="468" spans="1:10">
      <c r="A468">
        <v>5501</v>
      </c>
      <c r="B468" s="7" t="s">
        <v>375</v>
      </c>
      <c r="C468">
        <v>1</v>
      </c>
      <c r="D468" s="5">
        <v>126021293</v>
      </c>
      <c r="E468" s="6"/>
      <c r="F468" s="6">
        <v>46057.144444444442</v>
      </c>
      <c r="G468">
        <v>1</v>
      </c>
      <c r="H468">
        <v>2</v>
      </c>
      <c r="I468" t="str">
        <f t="shared" si="21"/>
        <v>63072026020200295501</v>
      </c>
      <c r="J468" t="str">
        <f>VLOOKUP(A468,Comuna_empresa!B:E,4,0)</f>
        <v>Quillota</v>
      </c>
    </row>
    <row r="469" spans="1:10">
      <c r="A469">
        <v>5501</v>
      </c>
      <c r="B469" s="7" t="s">
        <v>376</v>
      </c>
      <c r="C469">
        <v>1</v>
      </c>
      <c r="D469" s="5">
        <v>126021294</v>
      </c>
      <c r="E469" s="6"/>
      <c r="F469" s="6">
        <v>46057.144444444442</v>
      </c>
      <c r="G469">
        <v>1</v>
      </c>
      <c r="H469">
        <v>2</v>
      </c>
      <c r="I469" t="str">
        <f t="shared" si="21"/>
        <v>63072026020200485501</v>
      </c>
      <c r="J469" t="str">
        <f>VLOOKUP(A469,Comuna_empresa!B:E,4,0)</f>
        <v>Quillota</v>
      </c>
    </row>
    <row r="470" spans="1:10">
      <c r="A470">
        <v>5501</v>
      </c>
      <c r="B470" s="7" t="s">
        <v>377</v>
      </c>
      <c r="C470">
        <v>1</v>
      </c>
      <c r="D470" s="5">
        <v>126021295</v>
      </c>
      <c r="E470" s="6"/>
      <c r="F470" s="6">
        <v>46057.144444444442</v>
      </c>
      <c r="G470">
        <v>1</v>
      </c>
      <c r="H470">
        <v>2</v>
      </c>
      <c r="I470" t="str">
        <f t="shared" si="21"/>
        <v>63072026020200525501</v>
      </c>
      <c r="J470" t="str">
        <f>VLOOKUP(A470,Comuna_empresa!B:E,4,0)</f>
        <v>Quillota</v>
      </c>
    </row>
    <row r="471" spans="1:10">
      <c r="A471">
        <v>5501</v>
      </c>
      <c r="B471" s="7" t="s">
        <v>378</v>
      </c>
      <c r="C471">
        <v>1</v>
      </c>
      <c r="D471" s="5">
        <v>126021296</v>
      </c>
      <c r="E471" s="6"/>
      <c r="F471" s="6">
        <v>46057.144444444442</v>
      </c>
      <c r="G471">
        <v>1</v>
      </c>
      <c r="H471">
        <v>2</v>
      </c>
      <c r="I471" t="str">
        <f t="shared" si="21"/>
        <v>63072026020200575501</v>
      </c>
      <c r="J471" t="str">
        <f>VLOOKUP(A471,Comuna_empresa!B:E,4,0)</f>
        <v>Quillota</v>
      </c>
    </row>
    <row r="472" spans="1:10">
      <c r="A472">
        <v>5501</v>
      </c>
      <c r="B472" s="7" t="s">
        <v>379</v>
      </c>
      <c r="C472">
        <v>1</v>
      </c>
      <c r="D472" s="5">
        <v>126021297</v>
      </c>
      <c r="E472" s="6"/>
      <c r="F472" s="6">
        <v>46057.144444444442</v>
      </c>
      <c r="G472">
        <v>1</v>
      </c>
      <c r="H472">
        <v>2</v>
      </c>
      <c r="I472" t="str">
        <f t="shared" ref="I472:I476" si="22">"6307"&amp;MID(B472,7,18)&amp;A472</f>
        <v>63072026020200665501</v>
      </c>
      <c r="J472" t="str">
        <f>VLOOKUP(A472,Comuna_empresa!B:E,4,0)</f>
        <v>Quillota</v>
      </c>
    </row>
    <row r="473" spans="1:10">
      <c r="A473">
        <v>5501</v>
      </c>
      <c r="B473" s="7" t="s">
        <v>380</v>
      </c>
      <c r="C473">
        <v>1</v>
      </c>
      <c r="D473" s="5">
        <v>126021298</v>
      </c>
      <c r="E473" s="6"/>
      <c r="F473" s="6">
        <v>46057.144444444442</v>
      </c>
      <c r="G473">
        <v>4</v>
      </c>
      <c r="H473">
        <v>2</v>
      </c>
      <c r="I473" t="str">
        <f t="shared" si="22"/>
        <v>63072026020200725501</v>
      </c>
      <c r="J473" t="str">
        <f>VLOOKUP(A473,Comuna_empresa!B:E,4,0)</f>
        <v>Quillota</v>
      </c>
    </row>
    <row r="474" spans="1:10">
      <c r="A474">
        <v>5501</v>
      </c>
      <c r="B474" s="7" t="s">
        <v>381</v>
      </c>
      <c r="C474">
        <v>1</v>
      </c>
      <c r="D474" s="5">
        <v>126021299</v>
      </c>
      <c r="E474" s="6"/>
      <c r="F474" s="6">
        <v>46057.144444444442</v>
      </c>
      <c r="G474">
        <v>1</v>
      </c>
      <c r="H474">
        <v>2</v>
      </c>
      <c r="I474" t="str">
        <f t="shared" si="22"/>
        <v>63072026020200795501</v>
      </c>
      <c r="J474" t="str">
        <f>VLOOKUP(A474,Comuna_empresa!B:E,4,0)</f>
        <v>Quillota</v>
      </c>
    </row>
    <row r="475" spans="1:10">
      <c r="A475">
        <v>5501</v>
      </c>
      <c r="B475" s="7" t="s">
        <v>382</v>
      </c>
      <c r="C475">
        <v>1</v>
      </c>
      <c r="D475" s="5">
        <v>126021300</v>
      </c>
      <c r="E475" s="6"/>
      <c r="F475" s="6">
        <v>46057.144444444442</v>
      </c>
      <c r="G475">
        <v>1</v>
      </c>
      <c r="H475">
        <v>2</v>
      </c>
      <c r="I475" t="str">
        <f t="shared" si="22"/>
        <v>63072026020200805501</v>
      </c>
      <c r="J475" t="str">
        <f>VLOOKUP(A475,Comuna_empresa!B:E,4,0)</f>
        <v>Quillota</v>
      </c>
    </row>
    <row r="476" spans="1:10">
      <c r="A476">
        <v>5501</v>
      </c>
      <c r="B476" s="7" t="s">
        <v>383</v>
      </c>
      <c r="C476">
        <v>1</v>
      </c>
      <c r="D476" s="5">
        <v>126021301</v>
      </c>
      <c r="E476" s="6"/>
      <c r="F476" s="6">
        <v>46057.144444444442</v>
      </c>
      <c r="G476">
        <v>1</v>
      </c>
      <c r="H476">
        <v>2</v>
      </c>
      <c r="I476" t="str">
        <f t="shared" si="22"/>
        <v>63072026020200815501</v>
      </c>
      <c r="J476" t="str">
        <f>VLOOKUP(A476,Comuna_empresa!B:E,4,0)</f>
        <v>Quillota</v>
      </c>
    </row>
    <row r="477" spans="1:10">
      <c r="A477">
        <v>5501</v>
      </c>
      <c r="B477" s="7" t="s">
        <v>384</v>
      </c>
      <c r="C477">
        <v>1</v>
      </c>
      <c r="D477" s="5">
        <v>126021302</v>
      </c>
      <c r="E477" s="6"/>
      <c r="F477" s="6">
        <v>46057.144444444442</v>
      </c>
      <c r="G477">
        <v>4</v>
      </c>
      <c r="H477">
        <v>2</v>
      </c>
      <c r="I477" t="str">
        <f t="shared" ref="I477:I478" si="23">"6307"&amp;MID(B477,7,18)&amp;A477</f>
        <v>63072026020300545501</v>
      </c>
      <c r="J477" t="str">
        <f>VLOOKUP(A477,Comuna_empresa!B:E,4,0)</f>
        <v>Quillota</v>
      </c>
    </row>
    <row r="478" spans="1:10">
      <c r="A478">
        <v>5501</v>
      </c>
      <c r="B478" s="7" t="s">
        <v>385</v>
      </c>
      <c r="C478">
        <v>1</v>
      </c>
      <c r="D478" s="5">
        <v>126021303</v>
      </c>
      <c r="E478" s="6"/>
      <c r="F478" s="6">
        <v>46057.144444444442</v>
      </c>
      <c r="G478">
        <v>1</v>
      </c>
      <c r="H478">
        <v>2</v>
      </c>
      <c r="I478" t="str">
        <f t="shared" si="23"/>
        <v>63072026020400015501</v>
      </c>
      <c r="J478" t="str">
        <f>VLOOKUP(A478,Comuna_empresa!B:E,4,0)</f>
        <v>Quillota</v>
      </c>
    </row>
    <row r="479" spans="1:10">
      <c r="A479">
        <v>5601</v>
      </c>
      <c r="B479" s="7" t="s">
        <v>386</v>
      </c>
      <c r="C479">
        <v>1</v>
      </c>
      <c r="D479" s="5">
        <v>126021614</v>
      </c>
      <c r="E479" s="6"/>
      <c r="F479" s="6">
        <v>46066.25277777778</v>
      </c>
      <c r="G479">
        <v>1</v>
      </c>
      <c r="H479">
        <v>2</v>
      </c>
      <c r="I479" t="str">
        <f t="shared" ref="I479:I482" si="24">"6307"&amp;MID(B479,7,18)&amp;A479</f>
        <v>63072026021000815601</v>
      </c>
      <c r="J479" t="str">
        <f>VLOOKUP(A479,Comuna_empresa!B:E,4,0)</f>
        <v>San Antonio</v>
      </c>
    </row>
    <row r="480" spans="1:10">
      <c r="A480">
        <v>5802</v>
      </c>
      <c r="B480" s="7" t="s">
        <v>387</v>
      </c>
      <c r="C480">
        <v>1</v>
      </c>
      <c r="D480" s="5">
        <v>126022274</v>
      </c>
      <c r="E480" s="6"/>
      <c r="F480" s="6">
        <v>46067.165972222225</v>
      </c>
      <c r="G480">
        <v>1</v>
      </c>
      <c r="H480">
        <v>2</v>
      </c>
      <c r="I480" t="str">
        <f t="shared" si="24"/>
        <v>63072026021000895802</v>
      </c>
      <c r="J480" t="str">
        <f>VLOOKUP(A480,Comuna_empresa!B:E,4,0)</f>
        <v>Limache</v>
      </c>
    </row>
    <row r="481" spans="1:10">
      <c r="A481">
        <v>5601</v>
      </c>
      <c r="B481" s="7" t="s">
        <v>388</v>
      </c>
      <c r="C481">
        <v>1</v>
      </c>
      <c r="D481" s="5">
        <v>126021616</v>
      </c>
      <c r="E481" s="6"/>
      <c r="F481" s="6">
        <v>46066.25277777778</v>
      </c>
      <c r="G481">
        <v>1</v>
      </c>
      <c r="H481">
        <v>2</v>
      </c>
      <c r="I481" t="str">
        <f t="shared" si="24"/>
        <v>63072026021100045601</v>
      </c>
      <c r="J481" t="str">
        <f>VLOOKUP(A481,Comuna_empresa!B:E,4,0)</f>
        <v>San Antonio</v>
      </c>
    </row>
    <row r="482" spans="1:10">
      <c r="A482">
        <v>5603</v>
      </c>
      <c r="B482" s="7" t="s">
        <v>388</v>
      </c>
      <c r="C482">
        <v>1</v>
      </c>
      <c r="D482" s="5">
        <v>126021696</v>
      </c>
      <c r="E482" s="6"/>
      <c r="F482" s="6">
        <v>46066.25277777778</v>
      </c>
      <c r="G482">
        <v>1</v>
      </c>
      <c r="H482">
        <v>2</v>
      </c>
      <c r="I482" t="str">
        <f t="shared" si="24"/>
        <v>63072026021100045603</v>
      </c>
      <c r="J482" t="str">
        <f>VLOOKUP(A482,Comuna_empresa!B:E,4,0)</f>
        <v>Cartagena</v>
      </c>
    </row>
    <row r="483" spans="1:10">
      <c r="A483">
        <v>5603</v>
      </c>
      <c r="B483" s="7" t="s">
        <v>389</v>
      </c>
      <c r="C483">
        <v>1</v>
      </c>
      <c r="D483" s="5">
        <v>126021697</v>
      </c>
      <c r="E483" s="6"/>
      <c r="F483" s="6">
        <v>46066.25277777778</v>
      </c>
      <c r="G483">
        <v>1</v>
      </c>
      <c r="H483">
        <v>2</v>
      </c>
      <c r="I483" t="str">
        <f t="shared" ref="I483:I496" si="25">"6307"&amp;MID(B483,7,18)&amp;A483</f>
        <v>63072026021100325603</v>
      </c>
      <c r="J483" t="str">
        <f>VLOOKUP(A483,Comuna_empresa!B:E,4,0)</f>
        <v>Cartagena</v>
      </c>
    </row>
    <row r="484" spans="1:10">
      <c r="A484">
        <v>5802</v>
      </c>
      <c r="B484" s="7" t="s">
        <v>390</v>
      </c>
      <c r="C484">
        <v>1</v>
      </c>
      <c r="D484" s="5">
        <v>126022275</v>
      </c>
      <c r="E484" s="6"/>
      <c r="F484" s="6">
        <v>46067.165972222225</v>
      </c>
      <c r="G484">
        <v>4</v>
      </c>
      <c r="H484">
        <v>2</v>
      </c>
      <c r="I484" t="str">
        <f t="shared" si="25"/>
        <v>63072026021100445802</v>
      </c>
      <c r="J484" t="str">
        <f>VLOOKUP(A484,Comuna_empresa!B:E,4,0)</f>
        <v>Limache</v>
      </c>
    </row>
    <row r="485" spans="1:10">
      <c r="A485">
        <v>5601</v>
      </c>
      <c r="B485" s="7" t="s">
        <v>391</v>
      </c>
      <c r="C485">
        <v>1</v>
      </c>
      <c r="D485" s="5">
        <v>126021617</v>
      </c>
      <c r="E485" s="6"/>
      <c r="F485" s="6">
        <v>46066.25277777778</v>
      </c>
      <c r="G485">
        <v>1</v>
      </c>
      <c r="H485">
        <v>2</v>
      </c>
      <c r="I485" t="str">
        <f t="shared" si="25"/>
        <v>63072026021100555601</v>
      </c>
      <c r="J485" t="str">
        <f>VLOOKUP(A485,Comuna_empresa!B:E,4,0)</f>
        <v>San Antonio</v>
      </c>
    </row>
    <row r="486" spans="1:10">
      <c r="A486">
        <v>5601</v>
      </c>
      <c r="B486" s="7" t="s">
        <v>391</v>
      </c>
      <c r="C486">
        <v>2</v>
      </c>
      <c r="D486" s="5">
        <v>126021618</v>
      </c>
      <c r="E486" s="6"/>
      <c r="F486" s="6">
        <v>46066.25277777778</v>
      </c>
      <c r="G486">
        <v>1</v>
      </c>
      <c r="H486">
        <v>2</v>
      </c>
      <c r="I486" t="str">
        <f t="shared" si="25"/>
        <v>63072026021100555601</v>
      </c>
      <c r="J486" t="str">
        <f>VLOOKUP(A486,Comuna_empresa!B:E,4,0)</f>
        <v>San Antonio</v>
      </c>
    </row>
    <row r="487" spans="1:10">
      <c r="A487">
        <v>5802</v>
      </c>
      <c r="B487" s="7" t="s">
        <v>392</v>
      </c>
      <c r="C487">
        <v>1</v>
      </c>
      <c r="D487" s="5">
        <v>126022276</v>
      </c>
      <c r="E487" s="6"/>
      <c r="F487" s="6">
        <v>46067.165972222225</v>
      </c>
      <c r="G487">
        <v>1</v>
      </c>
      <c r="H487">
        <v>2</v>
      </c>
      <c r="I487" t="str">
        <f t="shared" si="25"/>
        <v>63072026021100605802</v>
      </c>
      <c r="J487" t="str">
        <f>VLOOKUP(A487,Comuna_empresa!B:E,4,0)</f>
        <v>Limache</v>
      </c>
    </row>
    <row r="488" spans="1:10">
      <c r="A488">
        <v>5803</v>
      </c>
      <c r="B488" s="7" t="s">
        <v>392</v>
      </c>
      <c r="C488">
        <v>1</v>
      </c>
      <c r="D488" s="5">
        <v>126022370</v>
      </c>
      <c r="E488" s="6"/>
      <c r="F488" s="6">
        <v>46067.392361111109</v>
      </c>
      <c r="G488">
        <v>1</v>
      </c>
      <c r="H488">
        <v>2</v>
      </c>
      <c r="I488" t="str">
        <f t="shared" si="25"/>
        <v>63072026021100605803</v>
      </c>
      <c r="J488" t="str">
        <f>VLOOKUP(A488,Comuna_empresa!B:E,4,0)</f>
        <v>Olmué</v>
      </c>
    </row>
    <row r="489" spans="1:10">
      <c r="A489">
        <v>5601</v>
      </c>
      <c r="B489" s="7" t="s">
        <v>393</v>
      </c>
      <c r="C489">
        <v>1</v>
      </c>
      <c r="D489" s="5">
        <v>126021619</v>
      </c>
      <c r="E489" s="6"/>
      <c r="F489" s="6">
        <v>46066.25277777778</v>
      </c>
      <c r="G489">
        <v>4</v>
      </c>
      <c r="H489">
        <v>2</v>
      </c>
      <c r="I489" t="str">
        <f t="shared" si="25"/>
        <v>63072026021100645601</v>
      </c>
      <c r="J489" t="str">
        <f>VLOOKUP(A489,Comuna_empresa!B:E,4,0)</f>
        <v>San Antonio</v>
      </c>
    </row>
    <row r="490" spans="1:10">
      <c r="A490">
        <v>5601</v>
      </c>
      <c r="B490" s="7" t="s">
        <v>394</v>
      </c>
      <c r="C490">
        <v>1</v>
      </c>
      <c r="D490" s="5">
        <v>126021620</v>
      </c>
      <c r="E490" s="6"/>
      <c r="F490" s="6">
        <v>46066.25277777778</v>
      </c>
      <c r="G490">
        <v>1</v>
      </c>
      <c r="H490">
        <v>2</v>
      </c>
      <c r="I490" t="str">
        <f t="shared" si="25"/>
        <v>63072026021100665601</v>
      </c>
      <c r="J490" t="str">
        <f>VLOOKUP(A490,Comuna_empresa!B:E,4,0)</f>
        <v>San Antonio</v>
      </c>
    </row>
    <row r="491" spans="1:10">
      <c r="A491">
        <v>5802</v>
      </c>
      <c r="B491" s="7" t="s">
        <v>395</v>
      </c>
      <c r="C491">
        <v>1</v>
      </c>
      <c r="D491" s="5">
        <v>126022277</v>
      </c>
      <c r="E491" s="6"/>
      <c r="F491" s="6">
        <v>46067.165972222225</v>
      </c>
      <c r="G491">
        <v>4</v>
      </c>
      <c r="H491">
        <v>2</v>
      </c>
      <c r="I491" t="str">
        <f t="shared" si="25"/>
        <v>63072026021100685802</v>
      </c>
      <c r="J491" t="str">
        <f>VLOOKUP(A491,Comuna_empresa!B:E,4,0)</f>
        <v>Limache</v>
      </c>
    </row>
    <row r="492" spans="1:10">
      <c r="A492">
        <v>5803</v>
      </c>
      <c r="B492" s="7" t="s">
        <v>396</v>
      </c>
      <c r="C492">
        <v>1</v>
      </c>
      <c r="D492" s="5">
        <v>126022372</v>
      </c>
      <c r="E492" s="6"/>
      <c r="F492" s="6">
        <v>46067.392361111109</v>
      </c>
      <c r="G492">
        <v>1</v>
      </c>
      <c r="H492">
        <v>2</v>
      </c>
      <c r="I492" t="str">
        <f t="shared" si="25"/>
        <v>63072026021100735803</v>
      </c>
      <c r="J492" t="str">
        <f>VLOOKUP(A492,Comuna_empresa!B:E,4,0)</f>
        <v>Olmué</v>
      </c>
    </row>
    <row r="493" spans="1:10">
      <c r="A493">
        <v>5601</v>
      </c>
      <c r="B493" s="7" t="s">
        <v>397</v>
      </c>
      <c r="C493">
        <v>1</v>
      </c>
      <c r="D493" s="5">
        <v>126021621</v>
      </c>
      <c r="E493" s="6"/>
      <c r="F493" s="6">
        <v>46066.25277777778</v>
      </c>
      <c r="G493">
        <v>1</v>
      </c>
      <c r="H493">
        <v>2</v>
      </c>
      <c r="I493" t="str">
        <f t="shared" si="25"/>
        <v>63072026021100885601</v>
      </c>
      <c r="J493" t="str">
        <f>VLOOKUP(A493,Comuna_empresa!B:E,4,0)</f>
        <v>San Antonio</v>
      </c>
    </row>
    <row r="494" spans="1:10">
      <c r="A494">
        <v>5802</v>
      </c>
      <c r="B494" s="7" t="s">
        <v>398</v>
      </c>
      <c r="C494">
        <v>1</v>
      </c>
      <c r="D494" s="5">
        <v>126022278</v>
      </c>
      <c r="E494" s="6"/>
      <c r="F494" s="6">
        <v>46067.165972222225</v>
      </c>
      <c r="G494">
        <v>1</v>
      </c>
      <c r="H494">
        <v>2</v>
      </c>
      <c r="I494" t="str">
        <f t="shared" si="25"/>
        <v>63072026021100895802</v>
      </c>
      <c r="J494" t="str">
        <f>VLOOKUP(A494,Comuna_empresa!B:E,4,0)</f>
        <v>Limache</v>
      </c>
    </row>
    <row r="495" spans="1:10">
      <c r="A495">
        <v>5603</v>
      </c>
      <c r="B495" s="7" t="s">
        <v>399</v>
      </c>
      <c r="C495">
        <v>1</v>
      </c>
      <c r="D495" s="5">
        <v>126021698</v>
      </c>
      <c r="E495" s="6"/>
      <c r="F495" s="6">
        <v>46066.25277777778</v>
      </c>
      <c r="G495">
        <v>1</v>
      </c>
      <c r="H495">
        <v>2</v>
      </c>
      <c r="I495" t="str">
        <f t="shared" si="25"/>
        <v>63072026021100925603</v>
      </c>
      <c r="J495" t="str">
        <f>VLOOKUP(A495,Comuna_empresa!B:E,4,0)</f>
        <v>Cartagena</v>
      </c>
    </row>
    <row r="496" spans="1:10">
      <c r="A496">
        <v>5603</v>
      </c>
      <c r="B496" s="7" t="s">
        <v>400</v>
      </c>
      <c r="C496">
        <v>1</v>
      </c>
      <c r="D496" s="5">
        <v>126021699</v>
      </c>
      <c r="E496" s="6"/>
      <c r="F496" s="6">
        <v>46066.25277777778</v>
      </c>
      <c r="G496">
        <v>1</v>
      </c>
      <c r="H496">
        <v>2</v>
      </c>
      <c r="I496" t="str">
        <f t="shared" si="25"/>
        <v>63072026021100945603</v>
      </c>
      <c r="J496" t="str">
        <f>VLOOKUP(A496,Comuna_empresa!B:E,4,0)</f>
        <v>Cartagena</v>
      </c>
    </row>
    <row r="497" spans="1:10">
      <c r="A497">
        <v>5802</v>
      </c>
      <c r="B497" s="7" t="s">
        <v>401</v>
      </c>
      <c r="C497">
        <v>1</v>
      </c>
      <c r="D497" s="5">
        <v>126022280</v>
      </c>
      <c r="E497" s="6"/>
      <c r="F497" s="6">
        <v>46067.165972222225</v>
      </c>
      <c r="G497">
        <v>4</v>
      </c>
      <c r="H497">
        <v>2</v>
      </c>
      <c r="I497" t="str">
        <f t="shared" ref="I497:I519" si="26">"6307"&amp;MID(B497,7,18)&amp;A497</f>
        <v>63072026021101065802</v>
      </c>
      <c r="J497" t="str">
        <f>VLOOKUP(A497,Comuna_empresa!B:E,4,0)</f>
        <v>Limache</v>
      </c>
    </row>
    <row r="498" spans="1:10">
      <c r="A498">
        <v>5802</v>
      </c>
      <c r="B498" s="7" t="s">
        <v>401</v>
      </c>
      <c r="C498">
        <v>3</v>
      </c>
      <c r="D498" s="5">
        <v>126022281</v>
      </c>
      <c r="E498" s="6"/>
      <c r="F498" s="6">
        <v>46067.165972222225</v>
      </c>
      <c r="G498">
        <v>4</v>
      </c>
      <c r="H498">
        <v>2</v>
      </c>
      <c r="I498" t="str">
        <f t="shared" si="26"/>
        <v>63072026021101065802</v>
      </c>
      <c r="J498" t="str">
        <f>VLOOKUP(A498,Comuna_empresa!B:E,4,0)</f>
        <v>Limache</v>
      </c>
    </row>
    <row r="499" spans="1:10">
      <c r="A499">
        <v>5803</v>
      </c>
      <c r="B499" s="7" t="s">
        <v>401</v>
      </c>
      <c r="C499">
        <v>1</v>
      </c>
      <c r="D499" s="5">
        <v>126022374</v>
      </c>
      <c r="E499" s="6"/>
      <c r="F499" s="6">
        <v>46067.392361111109</v>
      </c>
      <c r="G499">
        <v>4</v>
      </c>
      <c r="H499">
        <v>2</v>
      </c>
      <c r="I499" t="str">
        <f t="shared" si="26"/>
        <v>63072026021101065803</v>
      </c>
      <c r="J499" t="str">
        <f>VLOOKUP(A499,Comuna_empresa!B:E,4,0)</f>
        <v>Olmué</v>
      </c>
    </row>
    <row r="500" spans="1:10">
      <c r="A500">
        <v>5803</v>
      </c>
      <c r="B500" s="7" t="s">
        <v>401</v>
      </c>
      <c r="C500">
        <v>2</v>
      </c>
      <c r="D500" s="5">
        <v>126022375</v>
      </c>
      <c r="E500" s="6"/>
      <c r="F500" s="6">
        <v>46067.392361111109</v>
      </c>
      <c r="G500">
        <v>4</v>
      </c>
      <c r="H500">
        <v>2</v>
      </c>
      <c r="I500" t="str">
        <f t="shared" si="26"/>
        <v>63072026021101065803</v>
      </c>
      <c r="J500" t="str">
        <f>VLOOKUP(A500,Comuna_empresa!B:E,4,0)</f>
        <v>Olmué</v>
      </c>
    </row>
    <row r="501" spans="1:10">
      <c r="A501">
        <v>5803</v>
      </c>
      <c r="B501" s="7" t="s">
        <v>401</v>
      </c>
      <c r="C501">
        <v>3</v>
      </c>
      <c r="D501" s="5">
        <v>126022376</v>
      </c>
      <c r="E501" s="6"/>
      <c r="F501" s="6">
        <v>46067.392361111109</v>
      </c>
      <c r="G501">
        <v>4</v>
      </c>
      <c r="H501">
        <v>2</v>
      </c>
      <c r="I501" t="str">
        <f t="shared" si="26"/>
        <v>63072026021101065803</v>
      </c>
      <c r="J501" t="str">
        <f>VLOOKUP(A501,Comuna_empresa!B:E,4,0)</f>
        <v>Olmué</v>
      </c>
    </row>
    <row r="502" spans="1:10">
      <c r="A502">
        <v>5601</v>
      </c>
      <c r="B502" s="7" t="s">
        <v>402</v>
      </c>
      <c r="C502">
        <v>1</v>
      </c>
      <c r="D502" s="5">
        <v>126021622</v>
      </c>
      <c r="E502" s="6"/>
      <c r="F502" s="6">
        <v>46066.25277777778</v>
      </c>
      <c r="G502">
        <v>4</v>
      </c>
      <c r="H502">
        <v>2</v>
      </c>
      <c r="I502" t="str">
        <f t="shared" si="26"/>
        <v>63072026021101075601</v>
      </c>
      <c r="J502" t="str">
        <f>VLOOKUP(A502,Comuna_empresa!B:E,4,0)</f>
        <v>San Antonio</v>
      </c>
    </row>
    <row r="503" spans="1:10">
      <c r="A503">
        <v>5601</v>
      </c>
      <c r="B503" s="7" t="s">
        <v>402</v>
      </c>
      <c r="C503">
        <v>2</v>
      </c>
      <c r="D503" s="5">
        <v>126021623</v>
      </c>
      <c r="E503" s="6"/>
      <c r="F503" s="6">
        <v>46066.25277777778</v>
      </c>
      <c r="G503">
        <v>4</v>
      </c>
      <c r="H503">
        <v>2</v>
      </c>
      <c r="I503" t="str">
        <f t="shared" si="26"/>
        <v>63072026021101075601</v>
      </c>
      <c r="J503" t="str">
        <f>VLOOKUP(A503,Comuna_empresa!B:E,4,0)</f>
        <v>San Antonio</v>
      </c>
    </row>
    <row r="504" spans="1:10">
      <c r="A504">
        <v>5603</v>
      </c>
      <c r="B504" s="7" t="s">
        <v>402</v>
      </c>
      <c r="C504">
        <v>1</v>
      </c>
      <c r="D504" s="5">
        <v>126021700</v>
      </c>
      <c r="E504" s="6"/>
      <c r="F504" s="6">
        <v>46066.25277777778</v>
      </c>
      <c r="G504">
        <v>4</v>
      </c>
      <c r="H504">
        <v>2</v>
      </c>
      <c r="I504" t="str">
        <f t="shared" si="26"/>
        <v>63072026021101075603</v>
      </c>
      <c r="J504" t="str">
        <f>VLOOKUP(A504,Comuna_empresa!B:E,4,0)</f>
        <v>Cartagena</v>
      </c>
    </row>
    <row r="505" spans="1:10">
      <c r="A505">
        <v>5802</v>
      </c>
      <c r="B505" s="7" t="s">
        <v>403</v>
      </c>
      <c r="C505">
        <v>1</v>
      </c>
      <c r="D505" s="5">
        <v>126022282</v>
      </c>
      <c r="E505" s="6"/>
      <c r="F505" s="6">
        <v>46067.165972222225</v>
      </c>
      <c r="G505">
        <v>1</v>
      </c>
      <c r="H505">
        <v>2</v>
      </c>
      <c r="I505" t="str">
        <f t="shared" si="26"/>
        <v>63072026021101095802</v>
      </c>
      <c r="J505" t="str">
        <f>VLOOKUP(A505,Comuna_empresa!B:E,4,0)</f>
        <v>Limache</v>
      </c>
    </row>
    <row r="506" spans="1:10">
      <c r="A506">
        <v>5802</v>
      </c>
      <c r="B506" s="7" t="s">
        <v>403</v>
      </c>
      <c r="C506">
        <v>2</v>
      </c>
      <c r="D506" s="5">
        <v>126022283</v>
      </c>
      <c r="E506" s="6"/>
      <c r="F506" s="6">
        <v>46067.165972222225</v>
      </c>
      <c r="G506">
        <v>1</v>
      </c>
      <c r="H506">
        <v>2</v>
      </c>
      <c r="I506" t="str">
        <f t="shared" si="26"/>
        <v>63072026021101095802</v>
      </c>
      <c r="J506" t="str">
        <f>VLOOKUP(A506,Comuna_empresa!B:E,4,0)</f>
        <v>Limache</v>
      </c>
    </row>
    <row r="507" spans="1:10">
      <c r="A507">
        <v>5802</v>
      </c>
      <c r="B507" s="7" t="s">
        <v>403</v>
      </c>
      <c r="C507">
        <v>3</v>
      </c>
      <c r="D507" s="5">
        <v>126022284</v>
      </c>
      <c r="E507" s="6"/>
      <c r="F507" s="6">
        <v>46067.165972222225</v>
      </c>
      <c r="G507">
        <v>1</v>
      </c>
      <c r="H507">
        <v>2</v>
      </c>
      <c r="I507" t="str">
        <f t="shared" si="26"/>
        <v>63072026021101095802</v>
      </c>
      <c r="J507" t="str">
        <f>VLOOKUP(A507,Comuna_empresa!B:E,4,0)</f>
        <v>Limache</v>
      </c>
    </row>
    <row r="508" spans="1:10">
      <c r="A508">
        <v>5802</v>
      </c>
      <c r="B508" s="7" t="s">
        <v>403</v>
      </c>
      <c r="C508">
        <v>4</v>
      </c>
      <c r="D508" s="5">
        <v>126022285</v>
      </c>
      <c r="E508" s="6"/>
      <c r="F508" s="6">
        <v>46067.165972222225</v>
      </c>
      <c r="G508">
        <v>1</v>
      </c>
      <c r="H508">
        <v>2</v>
      </c>
      <c r="I508" t="str">
        <f t="shared" si="26"/>
        <v>63072026021101095802</v>
      </c>
      <c r="J508" t="str">
        <f>VLOOKUP(A508,Comuna_empresa!B:E,4,0)</f>
        <v>Limache</v>
      </c>
    </row>
    <row r="509" spans="1:10">
      <c r="A509">
        <v>5803</v>
      </c>
      <c r="B509" s="7" t="s">
        <v>403</v>
      </c>
      <c r="C509">
        <v>3</v>
      </c>
      <c r="D509" s="5">
        <v>126022379</v>
      </c>
      <c r="E509" s="6"/>
      <c r="F509" s="6">
        <v>46067.392361111109</v>
      </c>
      <c r="G509">
        <v>1</v>
      </c>
      <c r="H509">
        <v>2</v>
      </c>
      <c r="I509" t="str">
        <f t="shared" si="26"/>
        <v>63072026021101095803</v>
      </c>
      <c r="J509" t="str">
        <f>VLOOKUP(A509,Comuna_empresa!B:E,4,0)</f>
        <v>Olmué</v>
      </c>
    </row>
    <row r="510" spans="1:10">
      <c r="A510">
        <v>5803</v>
      </c>
      <c r="B510" s="7" t="s">
        <v>403</v>
      </c>
      <c r="C510">
        <v>4</v>
      </c>
      <c r="D510" s="5">
        <v>126022380</v>
      </c>
      <c r="E510" s="6"/>
      <c r="F510" s="6">
        <v>46067.392361111109</v>
      </c>
      <c r="G510">
        <v>1</v>
      </c>
      <c r="H510">
        <v>2</v>
      </c>
      <c r="I510" t="str">
        <f t="shared" si="26"/>
        <v>63072026021101095803</v>
      </c>
      <c r="J510" t="str">
        <f>VLOOKUP(A510,Comuna_empresa!B:E,4,0)</f>
        <v>Olmué</v>
      </c>
    </row>
    <row r="511" spans="1:10">
      <c r="A511">
        <v>5803</v>
      </c>
      <c r="B511" s="7" t="s">
        <v>404</v>
      </c>
      <c r="C511">
        <v>1</v>
      </c>
      <c r="D511" s="5">
        <v>126022381</v>
      </c>
      <c r="E511" s="6"/>
      <c r="F511" s="6">
        <v>46067.392361111109</v>
      </c>
      <c r="G511">
        <v>1</v>
      </c>
      <c r="H511">
        <v>2</v>
      </c>
      <c r="I511" t="str">
        <f t="shared" si="26"/>
        <v>63072026021200045803</v>
      </c>
      <c r="J511" t="str">
        <f>VLOOKUP(A511,Comuna_empresa!B:E,4,0)</f>
        <v>Olmué</v>
      </c>
    </row>
    <row r="512" spans="1:10">
      <c r="A512">
        <v>5802</v>
      </c>
      <c r="B512" s="7" t="s">
        <v>405</v>
      </c>
      <c r="C512">
        <v>1</v>
      </c>
      <c r="D512" s="5">
        <v>126022286</v>
      </c>
      <c r="E512" s="6"/>
      <c r="F512" s="6">
        <v>46067.165972222225</v>
      </c>
      <c r="G512">
        <v>4</v>
      </c>
      <c r="H512">
        <v>2</v>
      </c>
      <c r="I512" t="str">
        <f t="shared" si="26"/>
        <v>63072026021200205802</v>
      </c>
      <c r="J512" t="str">
        <f>VLOOKUP(A512,Comuna_empresa!B:E,4,0)</f>
        <v>Limache</v>
      </c>
    </row>
    <row r="513" spans="1:10">
      <c r="A513">
        <v>5803</v>
      </c>
      <c r="B513" s="7" t="s">
        <v>405</v>
      </c>
      <c r="C513">
        <v>1</v>
      </c>
      <c r="D513" s="5">
        <v>126022382</v>
      </c>
      <c r="E513" s="6"/>
      <c r="F513" s="6">
        <v>46067.392361111109</v>
      </c>
      <c r="G513">
        <v>4</v>
      </c>
      <c r="H513">
        <v>2</v>
      </c>
      <c r="I513" t="str">
        <f t="shared" si="26"/>
        <v>63072026021200205803</v>
      </c>
      <c r="J513" t="str">
        <f>VLOOKUP(A513,Comuna_empresa!B:E,4,0)</f>
        <v>Olmué</v>
      </c>
    </row>
    <row r="514" spans="1:10">
      <c r="A514">
        <v>5802</v>
      </c>
      <c r="B514" s="7" t="s">
        <v>406</v>
      </c>
      <c r="C514">
        <v>1</v>
      </c>
      <c r="D514" s="5">
        <v>126022287</v>
      </c>
      <c r="E514" s="6"/>
      <c r="F514" s="6">
        <v>46067.165972222225</v>
      </c>
      <c r="G514">
        <v>1</v>
      </c>
      <c r="H514">
        <v>2</v>
      </c>
      <c r="I514" t="str">
        <f t="shared" si="26"/>
        <v>63072026021200225802</v>
      </c>
      <c r="J514" t="str">
        <f>VLOOKUP(A514,Comuna_empresa!B:E,4,0)</f>
        <v>Limache</v>
      </c>
    </row>
    <row r="515" spans="1:10">
      <c r="A515">
        <v>5601</v>
      </c>
      <c r="B515" s="7" t="s">
        <v>407</v>
      </c>
      <c r="C515">
        <v>1</v>
      </c>
      <c r="D515" s="5">
        <v>126021624</v>
      </c>
      <c r="E515" s="6"/>
      <c r="F515" s="6">
        <v>46066.25277777778</v>
      </c>
      <c r="G515">
        <v>1</v>
      </c>
      <c r="H515">
        <v>2</v>
      </c>
      <c r="I515" t="str">
        <f t="shared" si="26"/>
        <v>63072026021200285601</v>
      </c>
      <c r="J515" t="str">
        <f>VLOOKUP(A515,Comuna_empresa!B:E,4,0)</f>
        <v>San Antonio</v>
      </c>
    </row>
    <row r="516" spans="1:10">
      <c r="A516">
        <v>5603</v>
      </c>
      <c r="B516" s="7" t="s">
        <v>408</v>
      </c>
      <c r="C516">
        <v>1</v>
      </c>
      <c r="D516" s="5">
        <v>126021701</v>
      </c>
      <c r="E516" s="6"/>
      <c r="F516" s="6">
        <v>46066.25277777778</v>
      </c>
      <c r="G516">
        <v>1</v>
      </c>
      <c r="H516">
        <v>2</v>
      </c>
      <c r="I516" t="str">
        <f t="shared" si="26"/>
        <v>63072026021200315603</v>
      </c>
      <c r="J516" t="str">
        <f>VLOOKUP(A516,Comuna_empresa!B:E,4,0)</f>
        <v>Cartagena</v>
      </c>
    </row>
    <row r="517" spans="1:10">
      <c r="A517">
        <v>5803</v>
      </c>
      <c r="B517" s="7" t="s">
        <v>409</v>
      </c>
      <c r="C517">
        <v>1</v>
      </c>
      <c r="D517" s="5">
        <v>126022383</v>
      </c>
      <c r="E517" s="6"/>
      <c r="F517" s="6">
        <v>46067.392361111109</v>
      </c>
      <c r="G517">
        <v>1</v>
      </c>
      <c r="H517">
        <v>2</v>
      </c>
      <c r="I517" t="str">
        <f t="shared" si="26"/>
        <v>63072026021200375803</v>
      </c>
      <c r="J517" t="str">
        <f>VLOOKUP(A517,Comuna_empresa!B:E,4,0)</f>
        <v>Olmué</v>
      </c>
    </row>
    <row r="518" spans="1:10">
      <c r="A518">
        <v>5803</v>
      </c>
      <c r="B518" s="7" t="s">
        <v>410</v>
      </c>
      <c r="C518">
        <v>1</v>
      </c>
      <c r="D518" s="5">
        <v>126022384</v>
      </c>
      <c r="E518" s="6"/>
      <c r="F518" s="6">
        <v>46067.392361111109</v>
      </c>
      <c r="G518">
        <v>1</v>
      </c>
      <c r="H518">
        <v>2</v>
      </c>
      <c r="I518" t="str">
        <f t="shared" si="26"/>
        <v>63072026021200415803</v>
      </c>
      <c r="J518" t="str">
        <f>VLOOKUP(A518,Comuna_empresa!B:E,4,0)</f>
        <v>Olmué</v>
      </c>
    </row>
    <row r="519" spans="1:10">
      <c r="A519">
        <v>5803</v>
      </c>
      <c r="B519" s="7" t="s">
        <v>411</v>
      </c>
      <c r="C519">
        <v>1</v>
      </c>
      <c r="D519" s="5">
        <v>126022385</v>
      </c>
      <c r="E519" s="6"/>
      <c r="F519" s="6">
        <v>46067.392361111109</v>
      </c>
      <c r="G519">
        <v>1</v>
      </c>
      <c r="H519">
        <v>2</v>
      </c>
      <c r="I519" t="str">
        <f t="shared" si="26"/>
        <v>63072026021200425803</v>
      </c>
      <c r="J519" t="str">
        <f>VLOOKUP(A519,Comuna_empresa!B:E,4,0)</f>
        <v>Olmué</v>
      </c>
    </row>
    <row r="520" spans="1:10">
      <c r="A520">
        <v>5803</v>
      </c>
      <c r="B520" s="7" t="s">
        <v>412</v>
      </c>
      <c r="C520">
        <v>1</v>
      </c>
      <c r="D520" s="5">
        <v>126022386</v>
      </c>
      <c r="E520" s="6"/>
      <c r="F520" s="6">
        <v>46067.392361111109</v>
      </c>
      <c r="G520">
        <v>1</v>
      </c>
      <c r="H520">
        <v>2</v>
      </c>
      <c r="I520" t="str">
        <f t="shared" ref="I520:I538" si="27">"6307"&amp;MID(B520,7,18)&amp;A520</f>
        <v>63072026021200445803</v>
      </c>
      <c r="J520" t="str">
        <f>VLOOKUP(A520,Comuna_empresa!B:E,4,0)</f>
        <v>Olmué</v>
      </c>
    </row>
    <row r="521" spans="1:10">
      <c r="A521">
        <v>5802</v>
      </c>
      <c r="B521" s="7" t="s">
        <v>413</v>
      </c>
      <c r="C521">
        <v>1</v>
      </c>
      <c r="D521" s="5">
        <v>126022288</v>
      </c>
      <c r="E521" s="6"/>
      <c r="F521" s="6">
        <v>46067.165972222225</v>
      </c>
      <c r="G521">
        <v>1</v>
      </c>
      <c r="H521">
        <v>2</v>
      </c>
      <c r="I521" t="str">
        <f t="shared" si="27"/>
        <v>63072026021200455802</v>
      </c>
      <c r="J521" t="str">
        <f>VLOOKUP(A521,Comuna_empresa!B:E,4,0)</f>
        <v>Limache</v>
      </c>
    </row>
    <row r="522" spans="1:10">
      <c r="A522">
        <v>5603</v>
      </c>
      <c r="B522" s="7" t="s">
        <v>414</v>
      </c>
      <c r="C522">
        <v>1</v>
      </c>
      <c r="D522" s="5">
        <v>126021702</v>
      </c>
      <c r="E522" s="6"/>
      <c r="F522" s="6">
        <v>46066.25277777778</v>
      </c>
      <c r="G522">
        <v>1</v>
      </c>
      <c r="H522">
        <v>2</v>
      </c>
      <c r="I522" t="str">
        <f t="shared" si="27"/>
        <v>63072026021200535603</v>
      </c>
      <c r="J522" t="str">
        <f>VLOOKUP(A522,Comuna_empresa!B:E,4,0)</f>
        <v>Cartagena</v>
      </c>
    </row>
    <row r="523" spans="1:10">
      <c r="A523">
        <v>5603</v>
      </c>
      <c r="B523" s="7" t="s">
        <v>415</v>
      </c>
      <c r="C523">
        <v>1</v>
      </c>
      <c r="D523" s="5">
        <v>126021703</v>
      </c>
      <c r="E523" s="6"/>
      <c r="F523" s="6">
        <v>46066.25277777778</v>
      </c>
      <c r="G523">
        <v>1</v>
      </c>
      <c r="H523">
        <v>2</v>
      </c>
      <c r="I523" t="str">
        <f t="shared" si="27"/>
        <v>63072026021200655603</v>
      </c>
      <c r="J523" t="str">
        <f>VLOOKUP(A523,Comuna_empresa!B:E,4,0)</f>
        <v>Cartagena</v>
      </c>
    </row>
    <row r="524" spans="1:10">
      <c r="A524">
        <v>5803</v>
      </c>
      <c r="B524" s="7" t="s">
        <v>416</v>
      </c>
      <c r="C524">
        <v>1</v>
      </c>
      <c r="D524" s="5">
        <v>126022387</v>
      </c>
      <c r="E524" s="6"/>
      <c r="F524" s="6">
        <v>46067.392361111109</v>
      </c>
      <c r="G524">
        <v>1</v>
      </c>
      <c r="H524">
        <v>2</v>
      </c>
      <c r="I524" t="str">
        <f t="shared" si="27"/>
        <v>63072026021200705803</v>
      </c>
      <c r="J524" t="str">
        <f>VLOOKUP(A524,Comuna_empresa!B:E,4,0)</f>
        <v>Olmué</v>
      </c>
    </row>
    <row r="525" spans="1:10">
      <c r="A525">
        <v>5802</v>
      </c>
      <c r="B525" s="7" t="s">
        <v>417</v>
      </c>
      <c r="C525">
        <v>1</v>
      </c>
      <c r="D525" s="5">
        <v>126022289</v>
      </c>
      <c r="E525" s="6"/>
      <c r="F525" s="6">
        <v>46067.165972222225</v>
      </c>
      <c r="G525">
        <v>1</v>
      </c>
      <c r="H525">
        <v>2</v>
      </c>
      <c r="I525" t="str">
        <f t="shared" si="27"/>
        <v>63072026021200725802</v>
      </c>
      <c r="J525" t="str">
        <f>VLOOKUP(A525,Comuna_empresa!B:E,4,0)</f>
        <v>Limache</v>
      </c>
    </row>
    <row r="526" spans="1:10">
      <c r="A526">
        <v>5603</v>
      </c>
      <c r="B526" s="7" t="s">
        <v>418</v>
      </c>
      <c r="C526">
        <v>1</v>
      </c>
      <c r="D526" s="5">
        <v>126021704</v>
      </c>
      <c r="E526" s="6"/>
      <c r="F526" s="6">
        <v>46066.25277777778</v>
      </c>
      <c r="G526">
        <v>1</v>
      </c>
      <c r="H526">
        <v>2</v>
      </c>
      <c r="I526" t="str">
        <f t="shared" si="27"/>
        <v>63072026021200775603</v>
      </c>
      <c r="J526" t="str">
        <f>VLOOKUP(A526,Comuna_empresa!B:E,4,0)</f>
        <v>Cartagena</v>
      </c>
    </row>
    <row r="527" spans="1:10">
      <c r="A527">
        <v>5802</v>
      </c>
      <c r="B527" s="7" t="s">
        <v>419</v>
      </c>
      <c r="C527">
        <v>1</v>
      </c>
      <c r="D527" s="5">
        <v>126022290</v>
      </c>
      <c r="E527" s="6"/>
      <c r="F527" s="6">
        <v>46067.165972222225</v>
      </c>
      <c r="G527">
        <v>4</v>
      </c>
      <c r="H527">
        <v>2</v>
      </c>
      <c r="I527" t="str">
        <f t="shared" si="27"/>
        <v>63072026021200805802</v>
      </c>
      <c r="J527" t="str">
        <f>VLOOKUP(A527,Comuna_empresa!B:E,4,0)</f>
        <v>Limache</v>
      </c>
    </row>
    <row r="528" spans="1:10">
      <c r="A528">
        <v>5802</v>
      </c>
      <c r="B528" s="7" t="s">
        <v>419</v>
      </c>
      <c r="C528">
        <v>2</v>
      </c>
      <c r="D528" s="5">
        <v>126022291</v>
      </c>
      <c r="E528" s="6"/>
      <c r="F528" s="6">
        <v>46067.165972222225</v>
      </c>
      <c r="G528">
        <v>4</v>
      </c>
      <c r="H528">
        <v>2</v>
      </c>
      <c r="I528" t="str">
        <f t="shared" si="27"/>
        <v>63072026021200805802</v>
      </c>
      <c r="J528" t="str">
        <f>VLOOKUP(A528,Comuna_empresa!B:E,4,0)</f>
        <v>Limache</v>
      </c>
    </row>
    <row r="529" spans="1:10">
      <c r="A529">
        <v>5803</v>
      </c>
      <c r="B529" s="7" t="s">
        <v>419</v>
      </c>
      <c r="C529">
        <v>1</v>
      </c>
      <c r="D529" s="5">
        <v>126022388</v>
      </c>
      <c r="E529" s="6"/>
      <c r="F529" s="6">
        <v>46067.392361111109</v>
      </c>
      <c r="G529">
        <v>4</v>
      </c>
      <c r="H529">
        <v>2</v>
      </c>
      <c r="I529" t="str">
        <f t="shared" si="27"/>
        <v>63072026021200805803</v>
      </c>
      <c r="J529" t="str">
        <f>VLOOKUP(A529,Comuna_empresa!B:E,4,0)</f>
        <v>Olmué</v>
      </c>
    </row>
    <row r="530" spans="1:10">
      <c r="A530">
        <v>5803</v>
      </c>
      <c r="B530" s="7" t="s">
        <v>419</v>
      </c>
      <c r="C530">
        <v>2</v>
      </c>
      <c r="D530" s="5">
        <v>126022389</v>
      </c>
      <c r="E530" s="6"/>
      <c r="F530" s="6">
        <v>46067.392361111109</v>
      </c>
      <c r="G530">
        <v>4</v>
      </c>
      <c r="H530">
        <v>2</v>
      </c>
      <c r="I530" t="str">
        <f t="shared" si="27"/>
        <v>63072026021200805803</v>
      </c>
      <c r="J530" t="str">
        <f>VLOOKUP(A530,Comuna_empresa!B:E,4,0)</f>
        <v>Olmué</v>
      </c>
    </row>
    <row r="531" spans="1:10">
      <c r="A531">
        <v>5601</v>
      </c>
      <c r="B531" s="7" t="s">
        <v>420</v>
      </c>
      <c r="C531">
        <v>1</v>
      </c>
      <c r="D531" s="5">
        <v>126021625</v>
      </c>
      <c r="E531" s="6"/>
      <c r="F531" s="6">
        <v>46066.25277777778</v>
      </c>
      <c r="G531">
        <v>4</v>
      </c>
      <c r="H531">
        <v>2</v>
      </c>
      <c r="I531" t="str">
        <f t="shared" si="27"/>
        <v>63072026021300015601</v>
      </c>
      <c r="J531" t="str">
        <f>VLOOKUP(A531,Comuna_empresa!B:E,4,0)</f>
        <v>San Antonio</v>
      </c>
    </row>
    <row r="532" spans="1:10">
      <c r="A532">
        <v>5603</v>
      </c>
      <c r="B532" s="7" t="s">
        <v>420</v>
      </c>
      <c r="C532">
        <v>1</v>
      </c>
      <c r="D532" s="5">
        <v>126021705</v>
      </c>
      <c r="E532" s="6"/>
      <c r="F532" s="6">
        <v>46066.25277777778</v>
      </c>
      <c r="G532">
        <v>4</v>
      </c>
      <c r="H532">
        <v>2</v>
      </c>
      <c r="I532" t="str">
        <f t="shared" si="27"/>
        <v>63072026021300015603</v>
      </c>
      <c r="J532" t="str">
        <f>VLOOKUP(A532,Comuna_empresa!B:E,4,0)</f>
        <v>Cartagena</v>
      </c>
    </row>
    <row r="533" spans="1:10">
      <c r="A533">
        <v>5601</v>
      </c>
      <c r="B533" s="7" t="s">
        <v>421</v>
      </c>
      <c r="C533">
        <v>1</v>
      </c>
      <c r="D533" s="5">
        <v>126021626</v>
      </c>
      <c r="E533" s="6"/>
      <c r="F533" s="6">
        <v>46066.25277777778</v>
      </c>
      <c r="G533">
        <v>4</v>
      </c>
      <c r="H533">
        <v>2</v>
      </c>
      <c r="I533" t="str">
        <f t="shared" si="27"/>
        <v>63072026021300025601</v>
      </c>
      <c r="J533" t="str">
        <f>VLOOKUP(A533,Comuna_empresa!B:E,4,0)</f>
        <v>San Antonio</v>
      </c>
    </row>
    <row r="534" spans="1:10">
      <c r="A534">
        <v>5603</v>
      </c>
      <c r="B534" s="7" t="s">
        <v>421</v>
      </c>
      <c r="C534">
        <v>1</v>
      </c>
      <c r="D534" s="5">
        <v>126021706</v>
      </c>
      <c r="E534" s="6"/>
      <c r="F534" s="6">
        <v>46066.25277777778</v>
      </c>
      <c r="G534">
        <v>4</v>
      </c>
      <c r="H534">
        <v>2</v>
      </c>
      <c r="I534" t="str">
        <f t="shared" si="27"/>
        <v>63072026021300025603</v>
      </c>
      <c r="J534" t="str">
        <f>VLOOKUP(A534,Comuna_empresa!B:E,4,0)</f>
        <v>Cartagena</v>
      </c>
    </row>
    <row r="535" spans="1:10">
      <c r="A535">
        <v>5601</v>
      </c>
      <c r="B535" s="7" t="s">
        <v>422</v>
      </c>
      <c r="C535">
        <v>1</v>
      </c>
      <c r="D535" s="5">
        <v>126021627</v>
      </c>
      <c r="E535" s="6"/>
      <c r="F535" s="6">
        <v>46066.25277777778</v>
      </c>
      <c r="G535">
        <v>1</v>
      </c>
      <c r="H535">
        <v>2</v>
      </c>
      <c r="I535" t="str">
        <f t="shared" si="27"/>
        <v>63072026021300055601</v>
      </c>
      <c r="J535" t="str">
        <f>VLOOKUP(A535,Comuna_empresa!B:E,4,0)</f>
        <v>San Antonio</v>
      </c>
    </row>
    <row r="536" spans="1:10">
      <c r="A536">
        <v>5802</v>
      </c>
      <c r="B536" s="7" t="s">
        <v>423</v>
      </c>
      <c r="C536">
        <v>1</v>
      </c>
      <c r="D536" s="5">
        <v>126022292</v>
      </c>
      <c r="E536" s="6"/>
      <c r="F536" s="6">
        <v>46067.165972222225</v>
      </c>
      <c r="G536">
        <v>4</v>
      </c>
      <c r="H536">
        <v>2</v>
      </c>
      <c r="I536" t="str">
        <f t="shared" si="27"/>
        <v>63072026021300105802</v>
      </c>
      <c r="J536" t="str">
        <f>VLOOKUP(A536,Comuna_empresa!B:E,4,0)</f>
        <v>Limache</v>
      </c>
    </row>
    <row r="537" spans="1:10">
      <c r="A537">
        <v>5803</v>
      </c>
      <c r="B537" s="7" t="s">
        <v>423</v>
      </c>
      <c r="C537">
        <v>1</v>
      </c>
      <c r="D537" s="5">
        <v>126022390</v>
      </c>
      <c r="E537" s="6"/>
      <c r="F537" s="6">
        <v>46067.392361111109</v>
      </c>
      <c r="G537">
        <v>4</v>
      </c>
      <c r="H537">
        <v>2</v>
      </c>
      <c r="I537" t="str">
        <f t="shared" si="27"/>
        <v>63072026021300105803</v>
      </c>
      <c r="J537" t="str">
        <f>VLOOKUP(A537,Comuna_empresa!B:E,4,0)</f>
        <v>Olmué</v>
      </c>
    </row>
    <row r="538" spans="1:10">
      <c r="A538">
        <v>5601</v>
      </c>
      <c r="B538" s="7" t="s">
        <v>424</v>
      </c>
      <c r="C538">
        <v>1</v>
      </c>
      <c r="D538" s="5">
        <v>126021628</v>
      </c>
      <c r="E538" s="6"/>
      <c r="F538" s="6">
        <v>46066.25277777778</v>
      </c>
      <c r="G538">
        <v>4</v>
      </c>
      <c r="H538">
        <v>2</v>
      </c>
      <c r="I538" t="str">
        <f t="shared" si="27"/>
        <v>63072026021300135601</v>
      </c>
      <c r="J538" t="str">
        <f>VLOOKUP(A538,Comuna_empresa!B:E,4,0)</f>
        <v>San Antonio</v>
      </c>
    </row>
    <row r="539" spans="1:10">
      <c r="A539">
        <v>5802</v>
      </c>
      <c r="B539" s="7" t="s">
        <v>425</v>
      </c>
      <c r="C539">
        <v>1</v>
      </c>
      <c r="D539" s="5">
        <v>126022293</v>
      </c>
      <c r="E539" s="6"/>
      <c r="F539" s="6">
        <v>46067.165972222225</v>
      </c>
      <c r="G539">
        <v>1</v>
      </c>
      <c r="H539">
        <v>2</v>
      </c>
      <c r="I539" t="str">
        <f t="shared" ref="I539:I546" si="28">"6307"&amp;MID(B539,7,18)&amp;A539</f>
        <v>63072026021300265802</v>
      </c>
      <c r="J539" t="str">
        <f>VLOOKUP(A539,Comuna_empresa!B:E,4,0)</f>
        <v>Limache</v>
      </c>
    </row>
    <row r="540" spans="1:10">
      <c r="A540">
        <v>5802</v>
      </c>
      <c r="B540" s="7" t="s">
        <v>426</v>
      </c>
      <c r="C540">
        <v>1</v>
      </c>
      <c r="D540" s="5">
        <v>126022294</v>
      </c>
      <c r="E540" s="6"/>
      <c r="F540" s="6">
        <v>46067.165972222225</v>
      </c>
      <c r="G540">
        <v>1</v>
      </c>
      <c r="H540">
        <v>2</v>
      </c>
      <c r="I540" t="str">
        <f t="shared" si="28"/>
        <v>63072026021300315802</v>
      </c>
      <c r="J540" t="str">
        <f>VLOOKUP(A540,Comuna_empresa!B:E,4,0)</f>
        <v>Limache</v>
      </c>
    </row>
    <row r="541" spans="1:10">
      <c r="A541">
        <v>5802</v>
      </c>
      <c r="B541" s="7" t="s">
        <v>427</v>
      </c>
      <c r="C541">
        <v>1</v>
      </c>
      <c r="D541" s="5">
        <v>126022295</v>
      </c>
      <c r="E541" s="6"/>
      <c r="F541" s="6">
        <v>46067.165972222225</v>
      </c>
      <c r="G541">
        <v>1</v>
      </c>
      <c r="H541">
        <v>2</v>
      </c>
      <c r="I541" t="str">
        <f t="shared" si="28"/>
        <v>63072026021300435802</v>
      </c>
      <c r="J541" t="str">
        <f>VLOOKUP(A541,Comuna_empresa!B:E,4,0)</f>
        <v>Limache</v>
      </c>
    </row>
    <row r="542" spans="1:10">
      <c r="A542">
        <v>5803</v>
      </c>
      <c r="B542" s="7" t="s">
        <v>427</v>
      </c>
      <c r="C542">
        <v>1</v>
      </c>
      <c r="D542" s="5">
        <v>126022391</v>
      </c>
      <c r="E542" s="6"/>
      <c r="F542" s="6">
        <v>46067.392361111109</v>
      </c>
      <c r="G542">
        <v>1</v>
      </c>
      <c r="H542">
        <v>2</v>
      </c>
      <c r="I542" t="str">
        <f t="shared" si="28"/>
        <v>63072026021300435803</v>
      </c>
      <c r="J542" t="str">
        <f>VLOOKUP(A542,Comuna_empresa!B:E,4,0)</f>
        <v>Olmué</v>
      </c>
    </row>
    <row r="543" spans="1:10">
      <c r="A543">
        <v>5803</v>
      </c>
      <c r="B543" s="7" t="s">
        <v>428</v>
      </c>
      <c r="C543">
        <v>1</v>
      </c>
      <c r="D543" s="5">
        <v>126022392</v>
      </c>
      <c r="E543" s="6"/>
      <c r="F543" s="6">
        <v>46067.392361111109</v>
      </c>
      <c r="G543">
        <v>1</v>
      </c>
      <c r="H543">
        <v>2</v>
      </c>
      <c r="I543" t="str">
        <f t="shared" si="28"/>
        <v>63072026021300505803</v>
      </c>
      <c r="J543" t="str">
        <f>VLOOKUP(A543,Comuna_empresa!B:E,4,0)</f>
        <v>Olmué</v>
      </c>
    </row>
    <row r="544" spans="1:10">
      <c r="A544">
        <v>5803</v>
      </c>
      <c r="B544" s="7" t="s">
        <v>429</v>
      </c>
      <c r="C544">
        <v>2</v>
      </c>
      <c r="D544" s="5">
        <v>126022393</v>
      </c>
      <c r="E544" s="6"/>
      <c r="F544" s="6">
        <v>46067.392361111109</v>
      </c>
      <c r="G544">
        <v>4</v>
      </c>
      <c r="H544">
        <v>2</v>
      </c>
      <c r="I544" t="str">
        <f t="shared" si="28"/>
        <v>63072026021300515803</v>
      </c>
      <c r="J544" t="str">
        <f>VLOOKUP(A544,Comuna_empresa!B:E,4,0)</f>
        <v>Olmué</v>
      </c>
    </row>
    <row r="545" spans="1:10">
      <c r="A545">
        <v>5802</v>
      </c>
      <c r="B545" s="7" t="s">
        <v>430</v>
      </c>
      <c r="C545">
        <v>1</v>
      </c>
      <c r="D545" s="5">
        <v>126022296</v>
      </c>
      <c r="E545" s="6"/>
      <c r="F545" s="6">
        <v>46067.165972222225</v>
      </c>
      <c r="G545">
        <v>1</v>
      </c>
      <c r="H545">
        <v>2</v>
      </c>
      <c r="I545" t="str">
        <f t="shared" si="28"/>
        <v>63072026021300595802</v>
      </c>
      <c r="J545" t="str">
        <f>VLOOKUP(A545,Comuna_empresa!B:E,4,0)</f>
        <v>Limache</v>
      </c>
    </row>
    <row r="546" spans="1:10">
      <c r="A546">
        <v>5802</v>
      </c>
      <c r="B546" s="7" t="s">
        <v>431</v>
      </c>
      <c r="C546">
        <v>1</v>
      </c>
      <c r="D546" s="5">
        <v>126022297</v>
      </c>
      <c r="E546" s="6"/>
      <c r="F546" s="6">
        <v>46067.165972222225</v>
      </c>
      <c r="G546">
        <v>1</v>
      </c>
      <c r="H546">
        <v>2</v>
      </c>
      <c r="I546" t="str">
        <f t="shared" si="28"/>
        <v>63072026021300695802</v>
      </c>
      <c r="J546" t="str">
        <f>VLOOKUP(A546,Comuna_empresa!B:E,4,0)</f>
        <v>Limache</v>
      </c>
    </row>
    <row r="547" spans="1:10">
      <c r="A547">
        <v>5803</v>
      </c>
      <c r="B547" s="7" t="s">
        <v>432</v>
      </c>
      <c r="C547">
        <v>1</v>
      </c>
      <c r="D547" s="5">
        <v>126022394</v>
      </c>
      <c r="E547" s="6"/>
      <c r="F547" s="6">
        <v>46067.392361111109</v>
      </c>
      <c r="G547">
        <v>1</v>
      </c>
      <c r="H547">
        <v>2</v>
      </c>
      <c r="I547" t="str">
        <f t="shared" ref="I547:I550" si="29">"6307"&amp;MID(B547,7,18)&amp;A547</f>
        <v>63072026021300755803</v>
      </c>
      <c r="J547" t="str">
        <f>VLOOKUP(A547,Comuna_empresa!B:E,4,0)</f>
        <v>Olmué</v>
      </c>
    </row>
    <row r="548" spans="1:10">
      <c r="A548">
        <v>5502</v>
      </c>
      <c r="B548" s="7" t="s">
        <v>433</v>
      </c>
      <c r="C548">
        <v>1</v>
      </c>
      <c r="D548" s="5">
        <v>126021433</v>
      </c>
      <c r="E548" s="6"/>
      <c r="F548" s="6">
        <v>46069.009722222225</v>
      </c>
      <c r="G548">
        <v>1</v>
      </c>
      <c r="H548">
        <v>2</v>
      </c>
      <c r="I548" t="str">
        <f t="shared" si="29"/>
        <v>63072026021300835502</v>
      </c>
      <c r="J548" t="str">
        <f>VLOOKUP(A548,Comuna_empresa!B:E,4,0)</f>
        <v>Calera</v>
      </c>
    </row>
    <row r="549" spans="1:10">
      <c r="A549">
        <v>5502</v>
      </c>
      <c r="B549" s="7" t="s">
        <v>434</v>
      </c>
      <c r="C549">
        <v>1</v>
      </c>
      <c r="D549" s="5">
        <v>126021434</v>
      </c>
      <c r="E549" s="6"/>
      <c r="F549" s="6">
        <v>46069.009722222225</v>
      </c>
      <c r="G549">
        <v>1</v>
      </c>
      <c r="H549">
        <v>2</v>
      </c>
      <c r="I549" t="str">
        <f t="shared" si="29"/>
        <v>63072026021400045502</v>
      </c>
      <c r="J549" t="str">
        <f>VLOOKUP(A549,Comuna_empresa!B:E,4,0)</f>
        <v>Calera</v>
      </c>
    </row>
    <row r="550" spans="1:10">
      <c r="A550">
        <v>5502</v>
      </c>
      <c r="B550" s="7" t="s">
        <v>435</v>
      </c>
      <c r="C550">
        <v>1</v>
      </c>
      <c r="D550" s="5">
        <v>126021435</v>
      </c>
      <c r="E550" s="6"/>
      <c r="F550" s="6">
        <v>46069.009722222225</v>
      </c>
      <c r="G550">
        <v>1</v>
      </c>
      <c r="H550">
        <v>2</v>
      </c>
      <c r="I550" t="str">
        <f t="shared" si="29"/>
        <v>63072026021400385502</v>
      </c>
      <c r="J550" t="str">
        <f>VLOOKUP(A550,Comuna_empresa!B:E,4,0)</f>
        <v>Calera</v>
      </c>
    </row>
    <row r="551" spans="1:10">
      <c r="A551">
        <v>5502</v>
      </c>
      <c r="B551" s="7" t="s">
        <v>436</v>
      </c>
      <c r="C551">
        <v>1</v>
      </c>
      <c r="D551" s="5">
        <v>126021436</v>
      </c>
      <c r="E551" s="6"/>
      <c r="F551" s="6">
        <v>46069.009722222225</v>
      </c>
      <c r="G551">
        <v>8</v>
      </c>
      <c r="H551">
        <v>2</v>
      </c>
      <c r="I551" t="str">
        <f t="shared" ref="I551:I564" si="30">"6307"&amp;MID(B551,7,18)&amp;A551</f>
        <v>63072026021400425502</v>
      </c>
      <c r="J551" t="str">
        <f>VLOOKUP(A551,Comuna_empresa!B:E,4,0)</f>
        <v>Calera</v>
      </c>
    </row>
    <row r="552" spans="1:10">
      <c r="A552">
        <v>5502</v>
      </c>
      <c r="B552" s="7" t="s">
        <v>437</v>
      </c>
      <c r="C552">
        <v>1</v>
      </c>
      <c r="D552" s="5">
        <v>126021437</v>
      </c>
      <c r="E552" s="6"/>
      <c r="F552" s="6">
        <v>46069.009722222225</v>
      </c>
      <c r="G552">
        <v>8</v>
      </c>
      <c r="H552">
        <v>2</v>
      </c>
      <c r="I552" t="str">
        <f t="shared" si="30"/>
        <v>63072026021400435502</v>
      </c>
      <c r="J552" t="str">
        <f>VLOOKUP(A552,Comuna_empresa!B:E,4,0)</f>
        <v>Calera</v>
      </c>
    </row>
    <row r="553" spans="1:10">
      <c r="A553">
        <v>5502</v>
      </c>
      <c r="B553" s="7" t="s">
        <v>438</v>
      </c>
      <c r="C553">
        <v>1</v>
      </c>
      <c r="D553" s="5">
        <v>126021438</v>
      </c>
      <c r="E553" s="6"/>
      <c r="F553" s="6">
        <v>46069.009722222225</v>
      </c>
      <c r="G553">
        <v>4</v>
      </c>
      <c r="H553">
        <v>2</v>
      </c>
      <c r="I553" t="str">
        <f t="shared" si="30"/>
        <v>63072026021400565502</v>
      </c>
      <c r="J553" t="str">
        <f>VLOOKUP(A553,Comuna_empresa!B:E,4,0)</f>
        <v>Calera</v>
      </c>
    </row>
    <row r="554" spans="1:10">
      <c r="A554">
        <v>5502</v>
      </c>
      <c r="B554" s="7" t="s">
        <v>438</v>
      </c>
      <c r="C554">
        <v>2</v>
      </c>
      <c r="D554" s="5">
        <v>126021439</v>
      </c>
      <c r="E554" s="6"/>
      <c r="F554" s="6">
        <v>46069.009722222225</v>
      </c>
      <c r="G554">
        <v>4</v>
      </c>
      <c r="H554">
        <v>2</v>
      </c>
      <c r="I554" t="str">
        <f t="shared" si="30"/>
        <v>63072026021400565502</v>
      </c>
      <c r="J554" t="str">
        <f>VLOOKUP(A554,Comuna_empresa!B:E,4,0)</f>
        <v>Calera</v>
      </c>
    </row>
    <row r="555" spans="1:10">
      <c r="A555">
        <v>5502</v>
      </c>
      <c r="B555" s="7" t="s">
        <v>439</v>
      </c>
      <c r="C555">
        <v>3</v>
      </c>
      <c r="D555" s="5">
        <v>126021440</v>
      </c>
      <c r="E555" s="6"/>
      <c r="F555" s="6">
        <v>46069.009722222225</v>
      </c>
      <c r="G555">
        <v>1</v>
      </c>
      <c r="H555">
        <v>2</v>
      </c>
      <c r="I555" t="str">
        <f t="shared" si="30"/>
        <v>63072026021400595502</v>
      </c>
      <c r="J555" t="str">
        <f>VLOOKUP(A555,Comuna_empresa!B:E,4,0)</f>
        <v>Calera</v>
      </c>
    </row>
    <row r="556" spans="1:10">
      <c r="A556">
        <v>5504</v>
      </c>
      <c r="B556" s="7" t="s">
        <v>439</v>
      </c>
      <c r="C556">
        <v>1</v>
      </c>
      <c r="D556" s="5">
        <v>126021518</v>
      </c>
      <c r="E556" s="6"/>
      <c r="F556" s="6">
        <v>46069.634722222225</v>
      </c>
      <c r="G556">
        <v>1</v>
      </c>
      <c r="H556">
        <v>2</v>
      </c>
      <c r="I556" t="str">
        <f t="shared" si="30"/>
        <v>63072026021400595504</v>
      </c>
      <c r="J556" t="str">
        <f>VLOOKUP(A556,Comuna_empresa!B:E,4,0)</f>
        <v>La Cruz</v>
      </c>
    </row>
    <row r="557" spans="1:10">
      <c r="A557">
        <v>5504</v>
      </c>
      <c r="B557" s="7" t="s">
        <v>439</v>
      </c>
      <c r="C557">
        <v>2</v>
      </c>
      <c r="D557" s="5">
        <v>126021519</v>
      </c>
      <c r="E557" s="6"/>
      <c r="F557" s="6">
        <v>46069.634722222225</v>
      </c>
      <c r="G557">
        <v>1</v>
      </c>
      <c r="H557">
        <v>2</v>
      </c>
      <c r="I557" t="str">
        <f t="shared" si="30"/>
        <v>63072026021400595504</v>
      </c>
      <c r="J557" t="str">
        <f>VLOOKUP(A557,Comuna_empresa!B:E,4,0)</f>
        <v>La Cruz</v>
      </c>
    </row>
    <row r="558" spans="1:10">
      <c r="A558">
        <v>5504</v>
      </c>
      <c r="B558" s="7" t="s">
        <v>439</v>
      </c>
      <c r="C558">
        <v>3</v>
      </c>
      <c r="D558" s="5">
        <v>126021520</v>
      </c>
      <c r="E558" s="6"/>
      <c r="F558" s="6">
        <v>46069.634722222225</v>
      </c>
      <c r="G558">
        <v>1</v>
      </c>
      <c r="H558">
        <v>2</v>
      </c>
      <c r="I558" t="str">
        <f t="shared" si="30"/>
        <v>63072026021400595504</v>
      </c>
      <c r="J558" t="str">
        <f>VLOOKUP(A558,Comuna_empresa!B:E,4,0)</f>
        <v>La Cruz</v>
      </c>
    </row>
    <row r="559" spans="1:10">
      <c r="A559">
        <v>5502</v>
      </c>
      <c r="B559" s="7" t="s">
        <v>440</v>
      </c>
      <c r="C559">
        <v>1</v>
      </c>
      <c r="D559" s="5">
        <v>126021441</v>
      </c>
      <c r="E559" s="6"/>
      <c r="F559" s="6">
        <v>46069.009722222225</v>
      </c>
      <c r="G559">
        <v>1</v>
      </c>
      <c r="H559">
        <v>2</v>
      </c>
      <c r="I559" t="str">
        <f t="shared" si="30"/>
        <v>63072026021400605502</v>
      </c>
      <c r="J559" t="str">
        <f>VLOOKUP(A559,Comuna_empresa!B:E,4,0)</f>
        <v>Calera</v>
      </c>
    </row>
    <row r="560" spans="1:10">
      <c r="A560">
        <v>5502</v>
      </c>
      <c r="B560" s="7" t="s">
        <v>440</v>
      </c>
      <c r="C560">
        <v>2</v>
      </c>
      <c r="D560" s="5">
        <v>126021442</v>
      </c>
      <c r="E560" s="6"/>
      <c r="F560" s="6">
        <v>46069.009722222225</v>
      </c>
      <c r="G560">
        <v>1</v>
      </c>
      <c r="H560">
        <v>2</v>
      </c>
      <c r="I560" t="str">
        <f t="shared" si="30"/>
        <v>63072026021400605502</v>
      </c>
      <c r="J560" t="str">
        <f>VLOOKUP(A560,Comuna_empresa!B:E,4,0)</f>
        <v>Calera</v>
      </c>
    </row>
    <row r="561" spans="1:10">
      <c r="A561">
        <v>5502</v>
      </c>
      <c r="B561" s="7" t="s">
        <v>440</v>
      </c>
      <c r="C561">
        <v>3</v>
      </c>
      <c r="D561" s="5">
        <v>126021443</v>
      </c>
      <c r="E561" s="6"/>
      <c r="F561" s="6">
        <v>46069.009722222225</v>
      </c>
      <c r="G561">
        <v>1</v>
      </c>
      <c r="H561">
        <v>2</v>
      </c>
      <c r="I561" t="str">
        <f t="shared" si="30"/>
        <v>63072026021400605502</v>
      </c>
      <c r="J561" t="str">
        <f>VLOOKUP(A561,Comuna_empresa!B:E,4,0)</f>
        <v>Calera</v>
      </c>
    </row>
    <row r="562" spans="1:10">
      <c r="A562">
        <v>5502</v>
      </c>
      <c r="B562" s="7" t="s">
        <v>440</v>
      </c>
      <c r="C562">
        <v>4</v>
      </c>
      <c r="D562" s="5">
        <v>126021444</v>
      </c>
      <c r="E562" s="6"/>
      <c r="F562" s="6">
        <v>46069.009722222225</v>
      </c>
      <c r="G562">
        <v>1</v>
      </c>
      <c r="H562">
        <v>2</v>
      </c>
      <c r="I562" t="str">
        <f t="shared" si="30"/>
        <v>63072026021400605502</v>
      </c>
      <c r="J562" t="str">
        <f>VLOOKUP(A562,Comuna_empresa!B:E,4,0)</f>
        <v>Calera</v>
      </c>
    </row>
    <row r="563" spans="1:10">
      <c r="A563">
        <v>5504</v>
      </c>
      <c r="B563" s="7" t="s">
        <v>440</v>
      </c>
      <c r="C563">
        <v>2</v>
      </c>
      <c r="D563" s="5">
        <v>126021521</v>
      </c>
      <c r="E563" s="6"/>
      <c r="F563" s="6">
        <v>46069.634722222225</v>
      </c>
      <c r="G563">
        <v>1</v>
      </c>
      <c r="H563">
        <v>2</v>
      </c>
      <c r="I563" t="str">
        <f t="shared" si="30"/>
        <v>63072026021400605504</v>
      </c>
      <c r="J563" t="str">
        <f>VLOOKUP(A563,Comuna_empresa!B:E,4,0)</f>
        <v>La Cruz</v>
      </c>
    </row>
    <row r="564" spans="1:10">
      <c r="A564">
        <v>5504</v>
      </c>
      <c r="B564" s="7" t="s">
        <v>441</v>
      </c>
      <c r="C564">
        <v>1</v>
      </c>
      <c r="D564" s="5">
        <v>126021522</v>
      </c>
      <c r="E564" s="6"/>
      <c r="F564" s="6">
        <v>46069.634722222225</v>
      </c>
      <c r="G564">
        <v>1</v>
      </c>
      <c r="H564">
        <v>2</v>
      </c>
      <c r="I564" t="str">
        <f t="shared" si="30"/>
        <v>63072026021500185504</v>
      </c>
      <c r="J564" t="str">
        <f>VLOOKUP(A564,Comuna_empresa!B:E,4,0)</f>
        <v>La Cruz</v>
      </c>
    </row>
    <row r="565" spans="1:10">
      <c r="A565">
        <v>5502</v>
      </c>
      <c r="B565" s="7" t="s">
        <v>442</v>
      </c>
      <c r="C565">
        <v>1</v>
      </c>
      <c r="D565" s="5">
        <v>126021445</v>
      </c>
      <c r="E565" s="6"/>
      <c r="F565" s="6">
        <v>46069.009722222225</v>
      </c>
      <c r="G565">
        <v>1</v>
      </c>
      <c r="H565">
        <v>2</v>
      </c>
      <c r="I565" t="str">
        <f t="shared" ref="I565:I566" si="31">"6307"&amp;MID(B565,7,18)&amp;A565</f>
        <v>63072026021500225502</v>
      </c>
      <c r="J565" t="str">
        <f>VLOOKUP(A565,Comuna_empresa!B:E,4,0)</f>
        <v>Calera</v>
      </c>
    </row>
    <row r="566" spans="1:10">
      <c r="A566">
        <v>5502</v>
      </c>
      <c r="B566" s="7" t="s">
        <v>443</v>
      </c>
      <c r="C566">
        <v>1</v>
      </c>
      <c r="D566" s="5">
        <v>126021446</v>
      </c>
      <c r="E566" s="6"/>
      <c r="F566" s="6">
        <v>46069.009722222225</v>
      </c>
      <c r="G566">
        <v>1</v>
      </c>
      <c r="H566">
        <v>2</v>
      </c>
      <c r="I566" t="str">
        <f t="shared" si="31"/>
        <v>63072026021500245502</v>
      </c>
      <c r="J566" t="str">
        <f>VLOOKUP(A566,Comuna_empresa!B:E,4,0)</f>
        <v>Calera</v>
      </c>
    </row>
    <row r="567" spans="1:10">
      <c r="A567">
        <v>5601</v>
      </c>
      <c r="B567" s="7" t="s">
        <v>444</v>
      </c>
      <c r="C567">
        <v>1</v>
      </c>
      <c r="D567" s="5">
        <v>126021665</v>
      </c>
      <c r="E567" s="6"/>
      <c r="F567" s="6">
        <v>46082.341666666667</v>
      </c>
      <c r="G567">
        <v>1</v>
      </c>
      <c r="H567">
        <v>2</v>
      </c>
      <c r="I567" t="str">
        <f t="shared" ref="I567:I577" si="32">"6307"&amp;MID(B567,7,18)&amp;A567</f>
        <v>63072026022700115601</v>
      </c>
      <c r="J567" t="str">
        <f>VLOOKUP(A567,Comuna_empresa!B:E,4,0)</f>
        <v>San Antonio</v>
      </c>
    </row>
    <row r="568" spans="1:10">
      <c r="A568">
        <v>5601</v>
      </c>
      <c r="B568" s="7" t="s">
        <v>445</v>
      </c>
      <c r="C568">
        <v>1</v>
      </c>
      <c r="D568" s="5">
        <v>126021666</v>
      </c>
      <c r="E568" s="6"/>
      <c r="F568" s="6">
        <v>46082.341666666667</v>
      </c>
      <c r="G568">
        <v>1</v>
      </c>
      <c r="H568">
        <v>2</v>
      </c>
      <c r="I568" t="str">
        <f t="shared" si="32"/>
        <v>63072026022700455601</v>
      </c>
      <c r="J568" t="str">
        <f>VLOOKUP(A568,Comuna_empresa!B:E,4,0)</f>
        <v>San Antonio</v>
      </c>
    </row>
    <row r="569" spans="1:10">
      <c r="A569">
        <v>5601</v>
      </c>
      <c r="B569" s="7" t="s">
        <v>446</v>
      </c>
      <c r="C569">
        <v>1</v>
      </c>
      <c r="D569" s="5">
        <v>126021667</v>
      </c>
      <c r="E569" s="6"/>
      <c r="F569" s="6">
        <v>46082.341666666667</v>
      </c>
      <c r="G569">
        <v>4</v>
      </c>
      <c r="H569">
        <v>2</v>
      </c>
      <c r="I569" t="str">
        <f t="shared" si="32"/>
        <v>63072026022700495601</v>
      </c>
      <c r="J569" t="str">
        <f>VLOOKUP(A569,Comuna_empresa!B:E,4,0)</f>
        <v>San Antonio</v>
      </c>
    </row>
    <row r="570" spans="1:10">
      <c r="A570">
        <v>5601</v>
      </c>
      <c r="B570" s="7" t="s">
        <v>446</v>
      </c>
      <c r="C570">
        <v>2</v>
      </c>
      <c r="D570" s="5">
        <v>126021668</v>
      </c>
      <c r="E570" s="6"/>
      <c r="F570" s="6">
        <v>46082.341666666667</v>
      </c>
      <c r="G570">
        <v>4</v>
      </c>
      <c r="H570">
        <v>2</v>
      </c>
      <c r="I570" t="str">
        <f t="shared" si="32"/>
        <v>63072026022700495601</v>
      </c>
      <c r="J570" t="str">
        <f>VLOOKUP(A570,Comuna_empresa!B:E,4,0)</f>
        <v>San Antonio</v>
      </c>
    </row>
    <row r="571" spans="1:10">
      <c r="A571">
        <v>5601</v>
      </c>
      <c r="B571" s="7" t="s">
        <v>446</v>
      </c>
      <c r="C571">
        <v>3</v>
      </c>
      <c r="D571" s="5">
        <v>126021669</v>
      </c>
      <c r="E571" s="6"/>
      <c r="F571" s="6">
        <v>46082.341666666667</v>
      </c>
      <c r="G571">
        <v>4</v>
      </c>
      <c r="H571">
        <v>2</v>
      </c>
      <c r="I571" t="str">
        <f t="shared" si="32"/>
        <v>63072026022700495601</v>
      </c>
      <c r="J571" t="str">
        <f>VLOOKUP(A571,Comuna_empresa!B:E,4,0)</f>
        <v>San Antonio</v>
      </c>
    </row>
    <row r="572" spans="1:10">
      <c r="A572">
        <v>5603</v>
      </c>
      <c r="B572" s="7" t="s">
        <v>446</v>
      </c>
      <c r="C572">
        <v>1</v>
      </c>
      <c r="D572" s="5">
        <v>126021731</v>
      </c>
      <c r="E572" s="6"/>
      <c r="F572" s="6">
        <v>46082.341666666667</v>
      </c>
      <c r="G572">
        <v>4</v>
      </c>
      <c r="H572">
        <v>2</v>
      </c>
      <c r="I572" t="str">
        <f t="shared" si="32"/>
        <v>63072026022700495603</v>
      </c>
      <c r="J572" t="str">
        <f>VLOOKUP(A572,Comuna_empresa!B:E,4,0)</f>
        <v>Cartagena</v>
      </c>
    </row>
    <row r="573" spans="1:10">
      <c r="A573">
        <v>5603</v>
      </c>
      <c r="B573" s="7" t="s">
        <v>446</v>
      </c>
      <c r="C573">
        <v>3</v>
      </c>
      <c r="D573" s="5">
        <v>126021732</v>
      </c>
      <c r="E573" s="6"/>
      <c r="F573" s="6">
        <v>46082.341666666667</v>
      </c>
      <c r="G573">
        <v>4</v>
      </c>
      <c r="H573">
        <v>2</v>
      </c>
      <c r="I573" t="str">
        <f t="shared" si="32"/>
        <v>63072026022700495603</v>
      </c>
      <c r="J573" t="str">
        <f>VLOOKUP(A573,Comuna_empresa!B:E,4,0)</f>
        <v>Cartagena</v>
      </c>
    </row>
    <row r="574" spans="1:10">
      <c r="A574">
        <v>5601</v>
      </c>
      <c r="B574" s="7" t="s">
        <v>447</v>
      </c>
      <c r="C574">
        <v>1</v>
      </c>
      <c r="D574" s="5">
        <v>126021670</v>
      </c>
      <c r="E574" s="6"/>
      <c r="F574" s="6">
        <v>46082.341666666667</v>
      </c>
      <c r="G574">
        <v>4</v>
      </c>
      <c r="H574">
        <v>2</v>
      </c>
      <c r="I574" t="str">
        <f t="shared" si="32"/>
        <v>63072026022800105601</v>
      </c>
      <c r="J574" t="str">
        <f>VLOOKUP(A574,Comuna_empresa!B:E,4,0)</f>
        <v>San Antonio</v>
      </c>
    </row>
    <row r="575" spans="1:10">
      <c r="A575">
        <v>5601</v>
      </c>
      <c r="B575" s="7" t="s">
        <v>448</v>
      </c>
      <c r="C575">
        <v>1</v>
      </c>
      <c r="D575" s="5">
        <v>126021671</v>
      </c>
      <c r="E575" s="6"/>
      <c r="F575" s="6">
        <v>46082.341666666667</v>
      </c>
      <c r="G575">
        <v>1</v>
      </c>
      <c r="H575">
        <v>2</v>
      </c>
      <c r="I575" t="str">
        <f t="shared" si="32"/>
        <v>63072026022800165601</v>
      </c>
      <c r="J575" t="str">
        <f>VLOOKUP(A575,Comuna_empresa!B:E,4,0)</f>
        <v>San Antonio</v>
      </c>
    </row>
    <row r="576" spans="1:10">
      <c r="A576">
        <v>5601</v>
      </c>
      <c r="B576" s="7" t="s">
        <v>449</v>
      </c>
      <c r="C576">
        <v>1</v>
      </c>
      <c r="D576" s="5">
        <v>126021672</v>
      </c>
      <c r="E576" s="6"/>
      <c r="F576" s="6">
        <v>46082.341666666667</v>
      </c>
      <c r="G576">
        <v>4</v>
      </c>
      <c r="H576">
        <v>2</v>
      </c>
      <c r="I576" t="str">
        <f t="shared" si="32"/>
        <v>63072026022800215601</v>
      </c>
      <c r="J576" t="str">
        <f>VLOOKUP(A576,Comuna_empresa!B:E,4,0)</f>
        <v>San Antonio</v>
      </c>
    </row>
    <row r="577" spans="1:10">
      <c r="A577">
        <v>5603</v>
      </c>
      <c r="B577" s="7" t="s">
        <v>449</v>
      </c>
      <c r="C577">
        <v>1</v>
      </c>
      <c r="D577" s="5">
        <v>126021733</v>
      </c>
      <c r="E577" s="6"/>
      <c r="F577" s="6">
        <v>46082.341666666667</v>
      </c>
      <c r="G577">
        <v>4</v>
      </c>
      <c r="H577">
        <v>2</v>
      </c>
      <c r="I577" t="str">
        <f t="shared" si="32"/>
        <v>63072026022800215603</v>
      </c>
      <c r="J577" t="str">
        <f>VLOOKUP(A577,Comuna_empresa!B:E,4,0)</f>
        <v>Cartagena</v>
      </c>
    </row>
    <row r="578" spans="1:10">
      <c r="A578">
        <v>5601</v>
      </c>
      <c r="B578" s="7" t="s">
        <v>450</v>
      </c>
      <c r="C578">
        <v>1</v>
      </c>
      <c r="D578" s="5">
        <v>126021673</v>
      </c>
      <c r="E578" s="6"/>
      <c r="F578" s="6">
        <v>46082.341666666667</v>
      </c>
      <c r="G578">
        <v>1</v>
      </c>
      <c r="H578">
        <v>2</v>
      </c>
      <c r="I578" t="str">
        <f t="shared" ref="I578:I587" si="33">"6307"&amp;MID(B578,7,18)&amp;A578</f>
        <v>63072026022800405601</v>
      </c>
      <c r="J578" t="str">
        <f>VLOOKUP(A578,Comuna_empresa!B:E,4,0)</f>
        <v>San Antonio</v>
      </c>
    </row>
    <row r="579" spans="1:10">
      <c r="A579">
        <v>5601</v>
      </c>
      <c r="B579" s="7" t="s">
        <v>451</v>
      </c>
      <c r="C579">
        <v>1</v>
      </c>
      <c r="D579" s="5">
        <v>126021674</v>
      </c>
      <c r="E579" s="6"/>
      <c r="F579" s="6">
        <v>46082.341666666667</v>
      </c>
      <c r="G579">
        <v>4</v>
      </c>
      <c r="H579">
        <v>2</v>
      </c>
      <c r="I579" t="str">
        <f t="shared" si="33"/>
        <v>63072026022800435601</v>
      </c>
      <c r="J579" t="str">
        <f>VLOOKUP(A579,Comuna_empresa!B:E,4,0)</f>
        <v>San Antonio</v>
      </c>
    </row>
    <row r="580" spans="1:10">
      <c r="A580">
        <v>5601</v>
      </c>
      <c r="B580" s="7" t="s">
        <v>451</v>
      </c>
      <c r="C580">
        <v>2</v>
      </c>
      <c r="D580" s="5">
        <v>126021675</v>
      </c>
      <c r="E580" s="6"/>
      <c r="F580" s="6">
        <v>46082.341666666667</v>
      </c>
      <c r="G580">
        <v>4</v>
      </c>
      <c r="H580">
        <v>2</v>
      </c>
      <c r="I580" t="str">
        <f t="shared" si="33"/>
        <v>63072026022800435601</v>
      </c>
      <c r="J580" t="str">
        <f>VLOOKUP(A580,Comuna_empresa!B:E,4,0)</f>
        <v>San Antonio</v>
      </c>
    </row>
    <row r="581" spans="1:10">
      <c r="A581">
        <v>5601</v>
      </c>
      <c r="B581" s="7" t="s">
        <v>451</v>
      </c>
      <c r="C581">
        <v>3</v>
      </c>
      <c r="D581" s="5">
        <v>126021676</v>
      </c>
      <c r="E581" s="6"/>
      <c r="F581" s="6">
        <v>46082.341666666667</v>
      </c>
      <c r="G581">
        <v>4</v>
      </c>
      <c r="H581">
        <v>2</v>
      </c>
      <c r="I581" t="str">
        <f t="shared" si="33"/>
        <v>63072026022800435601</v>
      </c>
      <c r="J581" t="str">
        <f>VLOOKUP(A581,Comuna_empresa!B:E,4,0)</f>
        <v>San Antonio</v>
      </c>
    </row>
    <row r="582" spans="1:10">
      <c r="A582">
        <v>5601</v>
      </c>
      <c r="B582" s="7" t="s">
        <v>451</v>
      </c>
      <c r="C582">
        <v>4</v>
      </c>
      <c r="D582" s="5">
        <v>126021677</v>
      </c>
      <c r="E582" s="6"/>
      <c r="F582" s="6">
        <v>46082.341666666667</v>
      </c>
      <c r="G582">
        <v>4</v>
      </c>
      <c r="H582">
        <v>2</v>
      </c>
      <c r="I582" t="str">
        <f t="shared" si="33"/>
        <v>63072026022800435601</v>
      </c>
      <c r="J582" t="str">
        <f>VLOOKUP(A582,Comuna_empresa!B:E,4,0)</f>
        <v>San Antonio</v>
      </c>
    </row>
    <row r="583" spans="1:10">
      <c r="A583">
        <v>5603</v>
      </c>
      <c r="B583" s="7" t="s">
        <v>451</v>
      </c>
      <c r="C583">
        <v>1</v>
      </c>
      <c r="D583" s="5">
        <v>126021734</v>
      </c>
      <c r="E583" s="6"/>
      <c r="F583" s="6">
        <v>46082.341666666667</v>
      </c>
      <c r="G583">
        <v>4</v>
      </c>
      <c r="H583">
        <v>2</v>
      </c>
      <c r="I583" t="str">
        <f t="shared" si="33"/>
        <v>63072026022800435603</v>
      </c>
      <c r="J583" t="str">
        <f>VLOOKUP(A583,Comuna_empresa!B:E,4,0)</f>
        <v>Cartagena</v>
      </c>
    </row>
    <row r="584" spans="1:10">
      <c r="A584">
        <v>5603</v>
      </c>
      <c r="B584" s="7" t="s">
        <v>451</v>
      </c>
      <c r="C584">
        <v>2</v>
      </c>
      <c r="D584" s="5">
        <v>126021735</v>
      </c>
      <c r="E584" s="6"/>
      <c r="F584" s="6">
        <v>46082.341666666667</v>
      </c>
      <c r="G584">
        <v>4</v>
      </c>
      <c r="H584">
        <v>2</v>
      </c>
      <c r="I584" t="str">
        <f t="shared" si="33"/>
        <v>63072026022800435603</v>
      </c>
      <c r="J584" t="str">
        <f>VLOOKUP(A584,Comuna_empresa!B:E,4,0)</f>
        <v>Cartagena</v>
      </c>
    </row>
    <row r="585" spans="1:10">
      <c r="A585">
        <v>5603</v>
      </c>
      <c r="B585" s="7" t="s">
        <v>451</v>
      </c>
      <c r="C585">
        <v>3</v>
      </c>
      <c r="D585" s="5">
        <v>126021736</v>
      </c>
      <c r="E585" s="6"/>
      <c r="F585" s="6">
        <v>46082.341666666667</v>
      </c>
      <c r="G585">
        <v>4</v>
      </c>
      <c r="H585">
        <v>2</v>
      </c>
      <c r="I585" t="str">
        <f t="shared" si="33"/>
        <v>63072026022800435603</v>
      </c>
      <c r="J585" t="str">
        <f>VLOOKUP(A585,Comuna_empresa!B:E,4,0)</f>
        <v>Cartagena</v>
      </c>
    </row>
    <row r="586" spans="1:10">
      <c r="A586">
        <v>5603</v>
      </c>
      <c r="B586" s="7" t="s">
        <v>451</v>
      </c>
      <c r="C586">
        <v>4</v>
      </c>
      <c r="D586" s="5">
        <v>126021737</v>
      </c>
      <c r="E586" s="6"/>
      <c r="F586" s="6">
        <v>46082.341666666667</v>
      </c>
      <c r="G586">
        <v>4</v>
      </c>
      <c r="H586">
        <v>2</v>
      </c>
      <c r="I586" t="str">
        <f t="shared" si="33"/>
        <v>63072026022800435603</v>
      </c>
      <c r="J586" t="str">
        <f>VLOOKUP(A586,Comuna_empresa!B:E,4,0)</f>
        <v>Cartagena</v>
      </c>
    </row>
    <row r="587" spans="1:10">
      <c r="A587">
        <v>5605</v>
      </c>
      <c r="B587" s="7" t="s">
        <v>451</v>
      </c>
      <c r="C587">
        <v>4</v>
      </c>
      <c r="D587" s="5">
        <v>126021740</v>
      </c>
      <c r="E587" s="6"/>
      <c r="F587" s="6">
        <v>46085.107638888891</v>
      </c>
      <c r="G587">
        <v>4</v>
      </c>
      <c r="H587">
        <v>2</v>
      </c>
      <c r="I587" t="str">
        <f t="shared" si="33"/>
        <v>63072026022800435605</v>
      </c>
      <c r="J587" t="str">
        <f>VLOOKUP(A587,Comuna_empresa!B:E,4,0)</f>
        <v>El Tabo</v>
      </c>
    </row>
    <row r="588" spans="1:10">
      <c r="A588">
        <v>5801</v>
      </c>
      <c r="B588" s="7" t="s">
        <v>490</v>
      </c>
      <c r="C588">
        <v>1</v>
      </c>
      <c r="D588">
        <v>126032217</v>
      </c>
      <c r="E588" s="8">
        <v>46082.602083333331</v>
      </c>
      <c r="F588" s="8">
        <v>46084.477083333331</v>
      </c>
      <c r="G588">
        <v>4</v>
      </c>
      <c r="H588">
        <v>2</v>
      </c>
      <c r="I588" t="str">
        <f t="shared" ref="I588:I651" si="34">"6307"&amp;MID(B588,7,18)&amp;A588</f>
        <v>63072026030100125801</v>
      </c>
      <c r="J588" t="str">
        <f>VLOOKUP(A588,Comuna_empresa!B:E,4,0)</f>
        <v>Quilpué</v>
      </c>
    </row>
    <row r="589" spans="1:10">
      <c r="A589">
        <v>5801</v>
      </c>
      <c r="B589" s="7" t="s">
        <v>490</v>
      </c>
      <c r="C589">
        <v>2</v>
      </c>
      <c r="D589">
        <v>126032218</v>
      </c>
      <c r="E589" s="8">
        <v>46082.602083333331</v>
      </c>
      <c r="F589" s="8">
        <v>46084.477083333331</v>
      </c>
      <c r="G589">
        <v>4</v>
      </c>
      <c r="H589">
        <v>2</v>
      </c>
      <c r="I589" t="str">
        <f t="shared" si="34"/>
        <v>63072026030100125801</v>
      </c>
      <c r="J589" t="str">
        <f>VLOOKUP(A589,Comuna_empresa!B:E,4,0)</f>
        <v>Quilpué</v>
      </c>
    </row>
    <row r="590" spans="1:10">
      <c r="A590">
        <v>5801</v>
      </c>
      <c r="B590" s="7" t="s">
        <v>490</v>
      </c>
      <c r="C590">
        <v>3</v>
      </c>
      <c r="D590">
        <v>126032219</v>
      </c>
      <c r="E590" s="8">
        <v>46082.602083333331</v>
      </c>
      <c r="F590" s="8">
        <v>46084.477083333331</v>
      </c>
      <c r="G590">
        <v>4</v>
      </c>
      <c r="H590">
        <v>2</v>
      </c>
      <c r="I590" t="str">
        <f t="shared" si="34"/>
        <v>63072026030100125801</v>
      </c>
      <c r="J590" t="str">
        <f>VLOOKUP(A590,Comuna_empresa!B:E,4,0)</f>
        <v>Quilpué</v>
      </c>
    </row>
    <row r="591" spans="1:10">
      <c r="A591">
        <v>5801</v>
      </c>
      <c r="B591" s="7" t="s">
        <v>491</v>
      </c>
      <c r="C591">
        <v>1</v>
      </c>
      <c r="D591">
        <v>126032220</v>
      </c>
      <c r="E591" s="8">
        <v>46082.602083333331</v>
      </c>
      <c r="F591" s="8">
        <v>46084.477083333331</v>
      </c>
      <c r="G591">
        <v>4</v>
      </c>
      <c r="H591">
        <v>2</v>
      </c>
      <c r="I591" t="str">
        <f t="shared" si="34"/>
        <v>63072026030100135801</v>
      </c>
      <c r="J591" t="str">
        <f>VLOOKUP(A591,Comuna_empresa!B:E,4,0)</f>
        <v>Quilpué</v>
      </c>
    </row>
    <row r="592" spans="1:10">
      <c r="A592">
        <v>5801</v>
      </c>
      <c r="B592" s="7" t="s">
        <v>491</v>
      </c>
      <c r="C592">
        <v>2</v>
      </c>
      <c r="D592">
        <v>126032221</v>
      </c>
      <c r="E592" s="8">
        <v>46082.602083333331</v>
      </c>
      <c r="F592" s="8">
        <v>46084.477083333331</v>
      </c>
      <c r="G592">
        <v>4</v>
      </c>
      <c r="H592">
        <v>2</v>
      </c>
      <c r="I592" t="str">
        <f t="shared" si="34"/>
        <v>63072026030100135801</v>
      </c>
      <c r="J592" t="str">
        <f>VLOOKUP(A592,Comuna_empresa!B:E,4,0)</f>
        <v>Quilpué</v>
      </c>
    </row>
    <row r="593" spans="1:10">
      <c r="A593">
        <v>5801</v>
      </c>
      <c r="B593" s="7" t="s">
        <v>491</v>
      </c>
      <c r="C593">
        <v>3</v>
      </c>
      <c r="D593">
        <v>126032222</v>
      </c>
      <c r="E593" s="8">
        <v>46082.602083333331</v>
      </c>
      <c r="F593" s="8">
        <v>46084.477083333331</v>
      </c>
      <c r="G593">
        <v>4</v>
      </c>
      <c r="H593">
        <v>2</v>
      </c>
      <c r="I593" t="str">
        <f t="shared" si="34"/>
        <v>63072026030100135801</v>
      </c>
      <c r="J593" t="str">
        <f>VLOOKUP(A593,Comuna_empresa!B:E,4,0)</f>
        <v>Quilpué</v>
      </c>
    </row>
    <row r="594" spans="1:10">
      <c r="A594">
        <v>5801</v>
      </c>
      <c r="B594" s="7" t="s">
        <v>492</v>
      </c>
      <c r="C594">
        <v>1</v>
      </c>
      <c r="D594">
        <v>126032223</v>
      </c>
      <c r="E594" s="8">
        <v>46082.602083333331</v>
      </c>
      <c r="F594" s="8">
        <v>46084.477083333331</v>
      </c>
      <c r="G594">
        <v>1</v>
      </c>
      <c r="H594">
        <v>2</v>
      </c>
      <c r="I594" t="str">
        <f t="shared" si="34"/>
        <v>63072026030100165801</v>
      </c>
      <c r="J594" t="str">
        <f>VLOOKUP(A594,Comuna_empresa!B:E,4,0)</f>
        <v>Quilpué</v>
      </c>
    </row>
    <row r="595" spans="1:10">
      <c r="A595">
        <v>5801</v>
      </c>
      <c r="B595" s="7" t="s">
        <v>493</v>
      </c>
      <c r="C595">
        <v>1</v>
      </c>
      <c r="D595">
        <v>126032224</v>
      </c>
      <c r="E595" s="8">
        <v>46082.602083333331</v>
      </c>
      <c r="F595" s="8">
        <v>46084.477083333331</v>
      </c>
      <c r="G595">
        <v>4</v>
      </c>
      <c r="H595">
        <v>2</v>
      </c>
      <c r="I595" t="str">
        <f t="shared" si="34"/>
        <v>63072026030103145801</v>
      </c>
      <c r="J595" t="str">
        <f>VLOOKUP(A595,Comuna_empresa!B:E,4,0)</f>
        <v>Quilpué</v>
      </c>
    </row>
    <row r="596" spans="1:10">
      <c r="A596">
        <v>5801</v>
      </c>
      <c r="B596" s="7" t="s">
        <v>494</v>
      </c>
      <c r="C596">
        <v>1</v>
      </c>
      <c r="D596">
        <v>126032225</v>
      </c>
      <c r="E596" s="8">
        <v>46082.602083333331</v>
      </c>
      <c r="F596" s="8">
        <v>46084.477083333331</v>
      </c>
      <c r="G596">
        <v>4</v>
      </c>
      <c r="H596">
        <v>2</v>
      </c>
      <c r="I596" t="str">
        <f t="shared" si="34"/>
        <v>63072026030103155801</v>
      </c>
      <c r="J596" t="str">
        <f>VLOOKUP(A596,Comuna_empresa!B:E,4,0)</f>
        <v>Quilpué</v>
      </c>
    </row>
    <row r="597" spans="1:10">
      <c r="A597">
        <v>5801</v>
      </c>
      <c r="B597" s="7" t="s">
        <v>495</v>
      </c>
      <c r="C597">
        <v>1</v>
      </c>
      <c r="D597">
        <v>126032226</v>
      </c>
      <c r="E597" s="8">
        <v>46082.602083333331</v>
      </c>
      <c r="F597" s="8">
        <v>46084.477083333331</v>
      </c>
      <c r="G597">
        <v>4</v>
      </c>
      <c r="H597">
        <v>2</v>
      </c>
      <c r="I597" t="str">
        <f t="shared" si="34"/>
        <v>63072026030103175801</v>
      </c>
      <c r="J597" t="str">
        <f>VLOOKUP(A597,Comuna_empresa!B:E,4,0)</f>
        <v>Quilpué</v>
      </c>
    </row>
    <row r="598" spans="1:10">
      <c r="A598">
        <v>5801</v>
      </c>
      <c r="B598" s="7" t="s">
        <v>496</v>
      </c>
      <c r="C598">
        <v>1</v>
      </c>
      <c r="D598">
        <v>126032227</v>
      </c>
      <c r="E598" s="8">
        <v>46082.602083333331</v>
      </c>
      <c r="F598" s="8">
        <v>46084.477083333331</v>
      </c>
      <c r="G598">
        <v>4</v>
      </c>
      <c r="H598">
        <v>2</v>
      </c>
      <c r="I598" t="str">
        <f t="shared" si="34"/>
        <v>63072026030103185801</v>
      </c>
      <c r="J598" t="str">
        <f>VLOOKUP(A598,Comuna_empresa!B:E,4,0)</f>
        <v>Quilpué</v>
      </c>
    </row>
    <row r="599" spans="1:10">
      <c r="A599">
        <v>5801</v>
      </c>
      <c r="B599" s="7" t="s">
        <v>497</v>
      </c>
      <c r="C599">
        <v>1</v>
      </c>
      <c r="D599">
        <v>126032228</v>
      </c>
      <c r="E599" s="8">
        <v>46082.602083333331</v>
      </c>
      <c r="F599" s="8">
        <v>46084.477083333331</v>
      </c>
      <c r="G599">
        <v>4</v>
      </c>
      <c r="H599">
        <v>2</v>
      </c>
      <c r="I599" t="str">
        <f t="shared" si="34"/>
        <v>63072026030103195801</v>
      </c>
      <c r="J599" t="str">
        <f>VLOOKUP(A599,Comuna_empresa!B:E,4,0)</f>
        <v>Quilpué</v>
      </c>
    </row>
    <row r="600" spans="1:10">
      <c r="A600">
        <v>5801</v>
      </c>
      <c r="B600" s="7" t="s">
        <v>498</v>
      </c>
      <c r="C600">
        <v>1</v>
      </c>
      <c r="D600">
        <v>126032229</v>
      </c>
      <c r="E600" s="8">
        <v>46082.602083333331</v>
      </c>
      <c r="F600" s="8">
        <v>46084.477083333331</v>
      </c>
      <c r="G600">
        <v>4</v>
      </c>
      <c r="H600">
        <v>2</v>
      </c>
      <c r="I600" t="str">
        <f t="shared" si="34"/>
        <v>63072026030104745801</v>
      </c>
      <c r="J600" t="str">
        <f>VLOOKUP(A600,Comuna_empresa!B:E,4,0)</f>
        <v>Quilpué</v>
      </c>
    </row>
    <row r="601" spans="1:10">
      <c r="A601">
        <v>5801</v>
      </c>
      <c r="B601" s="7" t="s">
        <v>499</v>
      </c>
      <c r="C601">
        <v>1</v>
      </c>
      <c r="D601">
        <v>126032230</v>
      </c>
      <c r="E601" s="8">
        <v>46082.602083333331</v>
      </c>
      <c r="F601" s="8">
        <v>46084.477083333331</v>
      </c>
      <c r="G601">
        <v>4</v>
      </c>
      <c r="H601">
        <v>2</v>
      </c>
      <c r="I601" t="str">
        <f t="shared" si="34"/>
        <v>63072026030104755801</v>
      </c>
      <c r="J601" t="str">
        <f>VLOOKUP(A601,Comuna_empresa!B:E,4,0)</f>
        <v>Quilpué</v>
      </c>
    </row>
    <row r="602" spans="1:10">
      <c r="A602">
        <v>5801</v>
      </c>
      <c r="B602" s="7" t="s">
        <v>500</v>
      </c>
      <c r="C602">
        <v>1</v>
      </c>
      <c r="D602">
        <v>126032231</v>
      </c>
      <c r="E602" s="8">
        <v>46082.602083333331</v>
      </c>
      <c r="F602" s="8">
        <v>46084.477083333331</v>
      </c>
      <c r="G602">
        <v>4</v>
      </c>
      <c r="H602">
        <v>2</v>
      </c>
      <c r="I602" t="str">
        <f t="shared" si="34"/>
        <v>63072026030104765801</v>
      </c>
      <c r="J602" t="str">
        <f>VLOOKUP(A602,Comuna_empresa!B:E,4,0)</f>
        <v>Quilpué</v>
      </c>
    </row>
    <row r="603" spans="1:10">
      <c r="A603">
        <v>5801</v>
      </c>
      <c r="B603" s="7" t="s">
        <v>501</v>
      </c>
      <c r="C603">
        <v>1</v>
      </c>
      <c r="D603">
        <v>126032232</v>
      </c>
      <c r="E603" s="8">
        <v>46082.602083333331</v>
      </c>
      <c r="F603" s="8">
        <v>46084.477083333331</v>
      </c>
      <c r="G603">
        <v>4</v>
      </c>
      <c r="H603">
        <v>2</v>
      </c>
      <c r="I603" t="str">
        <f t="shared" si="34"/>
        <v>63072026030104775801</v>
      </c>
      <c r="J603" t="str">
        <f>VLOOKUP(A603,Comuna_empresa!B:E,4,0)</f>
        <v>Quilpué</v>
      </c>
    </row>
    <row r="604" spans="1:10">
      <c r="A604">
        <v>5801</v>
      </c>
      <c r="B604" s="7" t="s">
        <v>502</v>
      </c>
      <c r="C604">
        <v>1</v>
      </c>
      <c r="D604">
        <v>126032233</v>
      </c>
      <c r="E604" s="8">
        <v>46082.602083333331</v>
      </c>
      <c r="F604" s="8">
        <v>46084.477083333331</v>
      </c>
      <c r="G604">
        <v>4</v>
      </c>
      <c r="H604">
        <v>2</v>
      </c>
      <c r="I604" t="str">
        <f t="shared" si="34"/>
        <v>63072026030104795801</v>
      </c>
      <c r="J604" t="str">
        <f>VLOOKUP(A604,Comuna_empresa!B:E,4,0)</f>
        <v>Quilpué</v>
      </c>
    </row>
    <row r="605" spans="1:10">
      <c r="A605">
        <v>5801</v>
      </c>
      <c r="B605" s="7" t="s">
        <v>503</v>
      </c>
      <c r="C605">
        <v>1</v>
      </c>
      <c r="D605">
        <v>126032234</v>
      </c>
      <c r="E605" s="8">
        <v>46082.602083333331</v>
      </c>
      <c r="F605" s="8">
        <v>46084.477083333331</v>
      </c>
      <c r="G605">
        <v>4</v>
      </c>
      <c r="H605">
        <v>2</v>
      </c>
      <c r="I605" t="str">
        <f t="shared" si="34"/>
        <v>63072026030104815801</v>
      </c>
      <c r="J605" t="str">
        <f>VLOOKUP(A605,Comuna_empresa!B:E,4,0)</f>
        <v>Quilpué</v>
      </c>
    </row>
    <row r="606" spans="1:10">
      <c r="A606">
        <v>5801</v>
      </c>
      <c r="B606" s="7" t="s">
        <v>504</v>
      </c>
      <c r="C606">
        <v>1</v>
      </c>
      <c r="D606">
        <v>126032235</v>
      </c>
      <c r="E606" s="8">
        <v>46082.602083333331</v>
      </c>
      <c r="F606" s="8">
        <v>46084.477083333331</v>
      </c>
      <c r="G606">
        <v>4</v>
      </c>
      <c r="H606">
        <v>2</v>
      </c>
      <c r="I606" t="str">
        <f t="shared" si="34"/>
        <v>63072026030104825801</v>
      </c>
      <c r="J606" t="str">
        <f>VLOOKUP(A606,Comuna_empresa!B:E,4,0)</f>
        <v>Quilpué</v>
      </c>
    </row>
    <row r="607" spans="1:10">
      <c r="A607">
        <v>5801</v>
      </c>
      <c r="B607" s="7" t="s">
        <v>505</v>
      </c>
      <c r="C607">
        <v>1</v>
      </c>
      <c r="D607">
        <v>126032236</v>
      </c>
      <c r="E607" s="8">
        <v>46082.602083333331</v>
      </c>
      <c r="F607" s="8">
        <v>46084.477083333331</v>
      </c>
      <c r="G607">
        <v>4</v>
      </c>
      <c r="H607">
        <v>2</v>
      </c>
      <c r="I607" t="str">
        <f t="shared" si="34"/>
        <v>63072026030104835801</v>
      </c>
      <c r="J607" t="str">
        <f>VLOOKUP(A607,Comuna_empresa!B:E,4,0)</f>
        <v>Quilpué</v>
      </c>
    </row>
    <row r="608" spans="1:10">
      <c r="A608">
        <v>5801</v>
      </c>
      <c r="B608" s="7" t="s">
        <v>506</v>
      </c>
      <c r="C608">
        <v>1</v>
      </c>
      <c r="D608">
        <v>126032237</v>
      </c>
      <c r="E608" s="8">
        <v>46082.602083333331</v>
      </c>
      <c r="F608" s="8">
        <v>46084.477083333331</v>
      </c>
      <c r="G608">
        <v>4</v>
      </c>
      <c r="H608">
        <v>2</v>
      </c>
      <c r="I608" t="str">
        <f t="shared" si="34"/>
        <v>63072026030104855801</v>
      </c>
      <c r="J608" t="str">
        <f>VLOOKUP(A608,Comuna_empresa!B:E,4,0)</f>
        <v>Quilpué</v>
      </c>
    </row>
    <row r="609" spans="1:10">
      <c r="A609">
        <v>5801</v>
      </c>
      <c r="B609" s="7" t="s">
        <v>507</v>
      </c>
      <c r="C609">
        <v>1</v>
      </c>
      <c r="D609">
        <v>126032238</v>
      </c>
      <c r="E609" s="8">
        <v>46082.602083333331</v>
      </c>
      <c r="F609" s="8">
        <v>46084.477083333331</v>
      </c>
      <c r="G609">
        <v>4</v>
      </c>
      <c r="H609">
        <v>2</v>
      </c>
      <c r="I609" t="str">
        <f t="shared" si="34"/>
        <v>63072026030104865801</v>
      </c>
      <c r="J609" t="str">
        <f>VLOOKUP(A609,Comuna_empresa!B:E,4,0)</f>
        <v>Quilpué</v>
      </c>
    </row>
    <row r="610" spans="1:10">
      <c r="A610">
        <v>5801</v>
      </c>
      <c r="B610" s="7" t="s">
        <v>508</v>
      </c>
      <c r="C610">
        <v>1</v>
      </c>
      <c r="D610">
        <v>126032239</v>
      </c>
      <c r="E610" s="8">
        <v>46082.602083333331</v>
      </c>
      <c r="F610" s="8">
        <v>46084.477083333331</v>
      </c>
      <c r="G610">
        <v>4</v>
      </c>
      <c r="H610">
        <v>2</v>
      </c>
      <c r="I610" t="str">
        <f t="shared" si="34"/>
        <v>63072026030104875801</v>
      </c>
      <c r="J610" t="str">
        <f>VLOOKUP(A610,Comuna_empresa!B:E,4,0)</f>
        <v>Quilpué</v>
      </c>
    </row>
    <row r="611" spans="1:10">
      <c r="A611">
        <v>5801</v>
      </c>
      <c r="B611" s="7" t="s">
        <v>509</v>
      </c>
      <c r="C611">
        <v>1</v>
      </c>
      <c r="D611">
        <v>126032240</v>
      </c>
      <c r="E611" s="8">
        <v>46082.602083333331</v>
      </c>
      <c r="F611" s="8">
        <v>46084.477083333331</v>
      </c>
      <c r="G611">
        <v>4</v>
      </c>
      <c r="H611">
        <v>2</v>
      </c>
      <c r="I611" t="str">
        <f t="shared" si="34"/>
        <v>63072026030104885801</v>
      </c>
      <c r="J611" t="str">
        <f>VLOOKUP(A611,Comuna_empresa!B:E,4,0)</f>
        <v>Quilpué</v>
      </c>
    </row>
    <row r="612" spans="1:10">
      <c r="A612">
        <v>5801</v>
      </c>
      <c r="B612" s="7" t="s">
        <v>510</v>
      </c>
      <c r="C612">
        <v>1</v>
      </c>
      <c r="D612">
        <v>126032241</v>
      </c>
      <c r="E612" s="8">
        <v>46082.602083333331</v>
      </c>
      <c r="F612" s="8">
        <v>46084.477083333331</v>
      </c>
      <c r="G612">
        <v>4</v>
      </c>
      <c r="H612">
        <v>2</v>
      </c>
      <c r="I612" t="str">
        <f t="shared" si="34"/>
        <v>63072026030104895801</v>
      </c>
      <c r="J612" t="str">
        <f>VLOOKUP(A612,Comuna_empresa!B:E,4,0)</f>
        <v>Quilpué</v>
      </c>
    </row>
    <row r="613" spans="1:10">
      <c r="A613">
        <v>5801</v>
      </c>
      <c r="B613" s="7" t="s">
        <v>511</v>
      </c>
      <c r="C613">
        <v>1</v>
      </c>
      <c r="D613">
        <v>126032242</v>
      </c>
      <c r="E613" s="8">
        <v>46082.602083333331</v>
      </c>
      <c r="F613" s="8">
        <v>46084.477083333331</v>
      </c>
      <c r="G613">
        <v>4</v>
      </c>
      <c r="H613">
        <v>2</v>
      </c>
      <c r="I613" t="str">
        <f t="shared" si="34"/>
        <v>63072026030104905801</v>
      </c>
      <c r="J613" t="str">
        <f>VLOOKUP(A613,Comuna_empresa!B:E,4,0)</f>
        <v>Quilpué</v>
      </c>
    </row>
    <row r="614" spans="1:10">
      <c r="A614">
        <v>5801</v>
      </c>
      <c r="B614" s="7" t="s">
        <v>512</v>
      </c>
      <c r="C614">
        <v>1</v>
      </c>
      <c r="D614">
        <v>126032243</v>
      </c>
      <c r="E614" s="8">
        <v>46082.602083333331</v>
      </c>
      <c r="F614" s="8">
        <v>46084.477083333331</v>
      </c>
      <c r="G614">
        <v>4</v>
      </c>
      <c r="H614">
        <v>2</v>
      </c>
      <c r="I614" t="str">
        <f t="shared" si="34"/>
        <v>63072026030104925801</v>
      </c>
      <c r="J614" t="str">
        <f>VLOOKUP(A614,Comuna_empresa!B:E,4,0)</f>
        <v>Quilpué</v>
      </c>
    </row>
    <row r="615" spans="1:10">
      <c r="A615">
        <v>5801</v>
      </c>
      <c r="B615" s="7" t="s">
        <v>513</v>
      </c>
      <c r="C615">
        <v>1</v>
      </c>
      <c r="D615">
        <v>126032244</v>
      </c>
      <c r="E615" s="8">
        <v>46082.602083333331</v>
      </c>
      <c r="F615" s="8">
        <v>46084.477083333331</v>
      </c>
      <c r="G615">
        <v>4</v>
      </c>
      <c r="H615">
        <v>2</v>
      </c>
      <c r="I615" t="str">
        <f t="shared" si="34"/>
        <v>63072026030104935801</v>
      </c>
      <c r="J615" t="str">
        <f>VLOOKUP(A615,Comuna_empresa!B:E,4,0)</f>
        <v>Quilpué</v>
      </c>
    </row>
    <row r="616" spans="1:10">
      <c r="A616">
        <v>5801</v>
      </c>
      <c r="B616" s="7" t="s">
        <v>514</v>
      </c>
      <c r="C616">
        <v>1</v>
      </c>
      <c r="D616">
        <v>126032245</v>
      </c>
      <c r="E616" s="8">
        <v>46082.602083333331</v>
      </c>
      <c r="F616" s="8">
        <v>46084.477083333331</v>
      </c>
      <c r="G616">
        <v>4</v>
      </c>
      <c r="H616">
        <v>2</v>
      </c>
      <c r="I616" t="str">
        <f t="shared" si="34"/>
        <v>63072026030104945801</v>
      </c>
      <c r="J616" t="str">
        <f>VLOOKUP(A616,Comuna_empresa!B:E,4,0)</f>
        <v>Quilpué</v>
      </c>
    </row>
    <row r="617" spans="1:10">
      <c r="A617">
        <v>5801</v>
      </c>
      <c r="B617" s="7" t="s">
        <v>515</v>
      </c>
      <c r="C617">
        <v>1</v>
      </c>
      <c r="D617">
        <v>126032246</v>
      </c>
      <c r="E617" s="8">
        <v>46082.602083333331</v>
      </c>
      <c r="F617" s="8">
        <v>46084.477083333331</v>
      </c>
      <c r="G617">
        <v>4</v>
      </c>
      <c r="H617">
        <v>2</v>
      </c>
      <c r="I617" t="str">
        <f t="shared" si="34"/>
        <v>63072026030104955801</v>
      </c>
      <c r="J617" t="str">
        <f>VLOOKUP(A617,Comuna_empresa!B:E,4,0)</f>
        <v>Quilpué</v>
      </c>
    </row>
    <row r="618" spans="1:10">
      <c r="A618">
        <v>5801</v>
      </c>
      <c r="B618" s="7" t="s">
        <v>516</v>
      </c>
      <c r="C618">
        <v>1</v>
      </c>
      <c r="D618">
        <v>126032247</v>
      </c>
      <c r="E618" s="8">
        <v>46082.602083333331</v>
      </c>
      <c r="F618" s="8">
        <v>46084.477083333331</v>
      </c>
      <c r="G618">
        <v>4</v>
      </c>
      <c r="H618">
        <v>2</v>
      </c>
      <c r="I618" t="str">
        <f t="shared" si="34"/>
        <v>63072026030104965801</v>
      </c>
      <c r="J618" t="str">
        <f>VLOOKUP(A618,Comuna_empresa!B:E,4,0)</f>
        <v>Quilpué</v>
      </c>
    </row>
    <row r="619" spans="1:10">
      <c r="A619">
        <v>5801</v>
      </c>
      <c r="B619" s="7" t="s">
        <v>517</v>
      </c>
      <c r="C619">
        <v>1</v>
      </c>
      <c r="D619">
        <v>126032248</v>
      </c>
      <c r="E619" s="8">
        <v>46082.602083333331</v>
      </c>
      <c r="F619" s="8">
        <v>46084.477083333331</v>
      </c>
      <c r="G619">
        <v>4</v>
      </c>
      <c r="H619">
        <v>2</v>
      </c>
      <c r="I619" t="str">
        <f t="shared" si="34"/>
        <v>63072026030104975801</v>
      </c>
      <c r="J619" t="str">
        <f>VLOOKUP(A619,Comuna_empresa!B:E,4,0)</f>
        <v>Quilpué</v>
      </c>
    </row>
    <row r="620" spans="1:10">
      <c r="A620">
        <v>5801</v>
      </c>
      <c r="B620" s="7" t="s">
        <v>518</v>
      </c>
      <c r="C620">
        <v>1</v>
      </c>
      <c r="D620">
        <v>126032249</v>
      </c>
      <c r="E620" s="8">
        <v>46082.602083333331</v>
      </c>
      <c r="F620" s="8">
        <v>46084.477083333331</v>
      </c>
      <c r="G620">
        <v>4</v>
      </c>
      <c r="H620">
        <v>2</v>
      </c>
      <c r="I620" t="str">
        <f t="shared" si="34"/>
        <v>63072026030104985801</v>
      </c>
      <c r="J620" t="str">
        <f>VLOOKUP(A620,Comuna_empresa!B:E,4,0)</f>
        <v>Quilpué</v>
      </c>
    </row>
    <row r="621" spans="1:10">
      <c r="A621">
        <v>5801</v>
      </c>
      <c r="B621" s="7" t="s">
        <v>519</v>
      </c>
      <c r="C621">
        <v>1</v>
      </c>
      <c r="D621">
        <v>126032250</v>
      </c>
      <c r="E621" s="8">
        <v>46082.602083333331</v>
      </c>
      <c r="F621" s="8">
        <v>46084.477083333331</v>
      </c>
      <c r="G621">
        <v>4</v>
      </c>
      <c r="H621">
        <v>2</v>
      </c>
      <c r="I621" t="str">
        <f t="shared" si="34"/>
        <v>63072026030104995801</v>
      </c>
      <c r="J621" t="str">
        <f>VLOOKUP(A621,Comuna_empresa!B:E,4,0)</f>
        <v>Quilpué</v>
      </c>
    </row>
    <row r="622" spans="1:10">
      <c r="A622">
        <v>5801</v>
      </c>
      <c r="B622" s="7" t="s">
        <v>520</v>
      </c>
      <c r="C622">
        <v>1</v>
      </c>
      <c r="D622">
        <v>126032251</v>
      </c>
      <c r="E622" s="8">
        <v>46082.602083333331</v>
      </c>
      <c r="F622" s="8">
        <v>46084.477083333331</v>
      </c>
      <c r="G622">
        <v>4</v>
      </c>
      <c r="H622">
        <v>2</v>
      </c>
      <c r="I622" t="str">
        <f t="shared" si="34"/>
        <v>63072026030105005801</v>
      </c>
      <c r="J622" t="str">
        <f>VLOOKUP(A622,Comuna_empresa!B:E,4,0)</f>
        <v>Quilpué</v>
      </c>
    </row>
    <row r="623" spans="1:10">
      <c r="A623">
        <v>5801</v>
      </c>
      <c r="B623" s="7" t="s">
        <v>521</v>
      </c>
      <c r="C623">
        <v>1</v>
      </c>
      <c r="D623">
        <v>126032252</v>
      </c>
      <c r="E623" s="8">
        <v>46082.602083333331</v>
      </c>
      <c r="F623" s="8">
        <v>46084.477083333331</v>
      </c>
      <c r="G623">
        <v>4</v>
      </c>
      <c r="H623">
        <v>2</v>
      </c>
      <c r="I623" t="str">
        <f t="shared" si="34"/>
        <v>63072026030105025801</v>
      </c>
      <c r="J623" t="str">
        <f>VLOOKUP(A623,Comuna_empresa!B:E,4,0)</f>
        <v>Quilpué</v>
      </c>
    </row>
    <row r="624" spans="1:10">
      <c r="A624">
        <v>5801</v>
      </c>
      <c r="B624" s="7" t="s">
        <v>522</v>
      </c>
      <c r="C624">
        <v>1</v>
      </c>
      <c r="D624">
        <v>126032253</v>
      </c>
      <c r="E624" s="8">
        <v>46082.602083333331</v>
      </c>
      <c r="F624" s="8">
        <v>46084.477083333331</v>
      </c>
      <c r="G624">
        <v>4</v>
      </c>
      <c r="H624">
        <v>2</v>
      </c>
      <c r="I624" t="str">
        <f t="shared" si="34"/>
        <v>63072026030105035801</v>
      </c>
      <c r="J624" t="str">
        <f>VLOOKUP(A624,Comuna_empresa!B:E,4,0)</f>
        <v>Quilpué</v>
      </c>
    </row>
    <row r="625" spans="1:10">
      <c r="A625">
        <v>5801</v>
      </c>
      <c r="B625" s="7" t="s">
        <v>523</v>
      </c>
      <c r="C625">
        <v>1</v>
      </c>
      <c r="D625">
        <v>126032254</v>
      </c>
      <c r="E625" s="8">
        <v>46082.602083333331</v>
      </c>
      <c r="F625" s="8">
        <v>46084.477083333331</v>
      </c>
      <c r="G625">
        <v>4</v>
      </c>
      <c r="H625">
        <v>2</v>
      </c>
      <c r="I625" t="str">
        <f t="shared" si="34"/>
        <v>63072026030105045801</v>
      </c>
      <c r="J625" t="str">
        <f>VLOOKUP(A625,Comuna_empresa!B:E,4,0)</f>
        <v>Quilpué</v>
      </c>
    </row>
    <row r="626" spans="1:10">
      <c r="A626">
        <v>5801</v>
      </c>
      <c r="B626" s="7" t="s">
        <v>524</v>
      </c>
      <c r="C626">
        <v>1</v>
      </c>
      <c r="D626">
        <v>126032255</v>
      </c>
      <c r="E626" s="8">
        <v>46082.602083333331</v>
      </c>
      <c r="F626" s="8">
        <v>46084.477083333331</v>
      </c>
      <c r="G626">
        <v>4</v>
      </c>
      <c r="H626">
        <v>2</v>
      </c>
      <c r="I626" t="str">
        <f t="shared" si="34"/>
        <v>63072026030105055801</v>
      </c>
      <c r="J626" t="str">
        <f>VLOOKUP(A626,Comuna_empresa!B:E,4,0)</f>
        <v>Quilpué</v>
      </c>
    </row>
    <row r="627" spans="1:10">
      <c r="A627">
        <v>5801</v>
      </c>
      <c r="B627" s="7" t="s">
        <v>525</v>
      </c>
      <c r="C627">
        <v>1</v>
      </c>
      <c r="D627">
        <v>126032256</v>
      </c>
      <c r="E627" s="8">
        <v>46082.602083333331</v>
      </c>
      <c r="F627" s="8">
        <v>46084.477083333331</v>
      </c>
      <c r="G627">
        <v>4</v>
      </c>
      <c r="H627">
        <v>2</v>
      </c>
      <c r="I627" t="str">
        <f t="shared" si="34"/>
        <v>63072026030105065801</v>
      </c>
      <c r="J627" t="str">
        <f>VLOOKUP(A627,Comuna_empresa!B:E,4,0)</f>
        <v>Quilpué</v>
      </c>
    </row>
    <row r="628" spans="1:10">
      <c r="A628">
        <v>5801</v>
      </c>
      <c r="B628" s="7" t="s">
        <v>526</v>
      </c>
      <c r="C628">
        <v>1</v>
      </c>
      <c r="D628">
        <v>126032257</v>
      </c>
      <c r="E628" s="8">
        <v>46082.602083333331</v>
      </c>
      <c r="F628" s="8">
        <v>46084.477083333331</v>
      </c>
      <c r="G628">
        <v>4</v>
      </c>
      <c r="H628">
        <v>2</v>
      </c>
      <c r="I628" t="str">
        <f t="shared" si="34"/>
        <v>63072026030105075801</v>
      </c>
      <c r="J628" t="str">
        <f>VLOOKUP(A628,Comuna_empresa!B:E,4,0)</f>
        <v>Quilpué</v>
      </c>
    </row>
    <row r="629" spans="1:10">
      <c r="A629">
        <v>5801</v>
      </c>
      <c r="B629" s="7" t="s">
        <v>527</v>
      </c>
      <c r="C629">
        <v>1</v>
      </c>
      <c r="D629">
        <v>126032258</v>
      </c>
      <c r="E629" s="8">
        <v>46082.602083333331</v>
      </c>
      <c r="F629" s="8">
        <v>46084.477083333331</v>
      </c>
      <c r="G629">
        <v>4</v>
      </c>
      <c r="H629">
        <v>2</v>
      </c>
      <c r="I629" t="str">
        <f t="shared" si="34"/>
        <v>63072026030105085801</v>
      </c>
      <c r="J629" t="str">
        <f>VLOOKUP(A629,Comuna_empresa!B:E,4,0)</f>
        <v>Quilpué</v>
      </c>
    </row>
    <row r="630" spans="1:10">
      <c r="A630">
        <v>5801</v>
      </c>
      <c r="B630" s="7" t="s">
        <v>528</v>
      </c>
      <c r="C630">
        <v>1</v>
      </c>
      <c r="D630">
        <v>126032259</v>
      </c>
      <c r="E630" s="8">
        <v>46082.602083333331</v>
      </c>
      <c r="F630" s="8">
        <v>46084.477083333331</v>
      </c>
      <c r="G630">
        <v>4</v>
      </c>
      <c r="H630">
        <v>2</v>
      </c>
      <c r="I630" t="str">
        <f t="shared" si="34"/>
        <v>63072026030105095801</v>
      </c>
      <c r="J630" t="str">
        <f>VLOOKUP(A630,Comuna_empresa!B:E,4,0)</f>
        <v>Quilpué</v>
      </c>
    </row>
    <row r="631" spans="1:10">
      <c r="A631">
        <v>5801</v>
      </c>
      <c r="B631" s="7" t="s">
        <v>529</v>
      </c>
      <c r="C631">
        <v>1</v>
      </c>
      <c r="D631">
        <v>126032260</v>
      </c>
      <c r="E631" s="8">
        <v>46082.602083333331</v>
      </c>
      <c r="F631" s="8">
        <v>46084.477083333331</v>
      </c>
      <c r="G631">
        <v>4</v>
      </c>
      <c r="H631">
        <v>2</v>
      </c>
      <c r="I631" t="str">
        <f t="shared" si="34"/>
        <v>63072026030105105801</v>
      </c>
      <c r="J631" t="str">
        <f>VLOOKUP(A631,Comuna_empresa!B:E,4,0)</f>
        <v>Quilpué</v>
      </c>
    </row>
    <row r="632" spans="1:10">
      <c r="A632">
        <v>5801</v>
      </c>
      <c r="B632" s="7" t="s">
        <v>530</v>
      </c>
      <c r="C632">
        <v>1</v>
      </c>
      <c r="D632">
        <v>126032261</v>
      </c>
      <c r="E632" s="8">
        <v>46082.602083333331</v>
      </c>
      <c r="F632" s="8">
        <v>46084.477083333331</v>
      </c>
      <c r="G632">
        <v>4</v>
      </c>
      <c r="H632">
        <v>2</v>
      </c>
      <c r="I632" t="str">
        <f t="shared" si="34"/>
        <v>63072026030105625801</v>
      </c>
      <c r="J632" t="str">
        <f>VLOOKUP(A632,Comuna_empresa!B:E,4,0)</f>
        <v>Quilpué</v>
      </c>
    </row>
    <row r="633" spans="1:10">
      <c r="A633">
        <v>5801</v>
      </c>
      <c r="B633" s="7" t="s">
        <v>531</v>
      </c>
      <c r="C633">
        <v>1</v>
      </c>
      <c r="D633">
        <v>126032262</v>
      </c>
      <c r="E633" s="8">
        <v>46082.602083333331</v>
      </c>
      <c r="F633" s="8">
        <v>46084.477083333331</v>
      </c>
      <c r="G633">
        <v>4</v>
      </c>
      <c r="H633">
        <v>2</v>
      </c>
      <c r="I633" t="str">
        <f t="shared" si="34"/>
        <v>63072026030105635801</v>
      </c>
      <c r="J633" t="str">
        <f>VLOOKUP(A633,Comuna_empresa!B:E,4,0)</f>
        <v>Quilpué</v>
      </c>
    </row>
    <row r="634" spans="1:10">
      <c r="A634">
        <v>5801</v>
      </c>
      <c r="B634" s="7" t="s">
        <v>532</v>
      </c>
      <c r="C634">
        <v>1</v>
      </c>
      <c r="D634">
        <v>126032263</v>
      </c>
      <c r="E634" s="8">
        <v>46082.602083333331</v>
      </c>
      <c r="F634" s="8">
        <v>46084.477083333331</v>
      </c>
      <c r="G634">
        <v>4</v>
      </c>
      <c r="H634">
        <v>2</v>
      </c>
      <c r="I634" t="str">
        <f t="shared" si="34"/>
        <v>63072026030105645801</v>
      </c>
      <c r="J634" t="str">
        <f>VLOOKUP(A634,Comuna_empresa!B:E,4,0)</f>
        <v>Quilpué</v>
      </c>
    </row>
    <row r="635" spans="1:10">
      <c r="A635">
        <v>5801</v>
      </c>
      <c r="B635" s="7" t="s">
        <v>533</v>
      </c>
      <c r="C635">
        <v>1</v>
      </c>
      <c r="D635">
        <v>126032264</v>
      </c>
      <c r="E635" s="8">
        <v>46082.602083333331</v>
      </c>
      <c r="F635" s="8">
        <v>46084.477083333331</v>
      </c>
      <c r="G635">
        <v>4</v>
      </c>
      <c r="H635">
        <v>2</v>
      </c>
      <c r="I635" t="str">
        <f t="shared" si="34"/>
        <v>63072026030105655801</v>
      </c>
      <c r="J635" t="str">
        <f>VLOOKUP(A635,Comuna_empresa!B:E,4,0)</f>
        <v>Quilpué</v>
      </c>
    </row>
    <row r="636" spans="1:10">
      <c r="A636">
        <v>5801</v>
      </c>
      <c r="B636" s="7" t="s">
        <v>534</v>
      </c>
      <c r="C636">
        <v>1</v>
      </c>
      <c r="D636">
        <v>126032265</v>
      </c>
      <c r="E636" s="8">
        <v>46082.602083333331</v>
      </c>
      <c r="F636" s="8">
        <v>46084.477083333331</v>
      </c>
      <c r="G636">
        <v>4</v>
      </c>
      <c r="H636">
        <v>2</v>
      </c>
      <c r="I636" t="str">
        <f t="shared" si="34"/>
        <v>63072026030105665801</v>
      </c>
      <c r="J636" t="str">
        <f>VLOOKUP(A636,Comuna_empresa!B:E,4,0)</f>
        <v>Quilpué</v>
      </c>
    </row>
    <row r="637" spans="1:10">
      <c r="A637">
        <v>5801</v>
      </c>
      <c r="B637" s="7" t="s">
        <v>535</v>
      </c>
      <c r="C637">
        <v>1</v>
      </c>
      <c r="D637">
        <v>126032266</v>
      </c>
      <c r="E637" s="8">
        <v>46082.602083333331</v>
      </c>
      <c r="F637" s="8">
        <v>46084.477083333331</v>
      </c>
      <c r="G637">
        <v>4</v>
      </c>
      <c r="H637">
        <v>2</v>
      </c>
      <c r="I637" t="str">
        <f t="shared" si="34"/>
        <v>63072026030105675801</v>
      </c>
      <c r="J637" t="str">
        <f>VLOOKUP(A637,Comuna_empresa!B:E,4,0)</f>
        <v>Quilpué</v>
      </c>
    </row>
    <row r="638" spans="1:10">
      <c r="A638">
        <v>5801</v>
      </c>
      <c r="B638" s="7" t="s">
        <v>536</v>
      </c>
      <c r="C638">
        <v>1</v>
      </c>
      <c r="D638">
        <v>126032267</v>
      </c>
      <c r="E638" s="8">
        <v>46082.602083333331</v>
      </c>
      <c r="F638" s="8">
        <v>46084.477083333331</v>
      </c>
      <c r="G638">
        <v>4</v>
      </c>
      <c r="H638">
        <v>2</v>
      </c>
      <c r="I638" t="str">
        <f t="shared" si="34"/>
        <v>63072026030105765801</v>
      </c>
      <c r="J638" t="str">
        <f>VLOOKUP(A638,Comuna_empresa!B:E,4,0)</f>
        <v>Quilpué</v>
      </c>
    </row>
    <row r="639" spans="1:10">
      <c r="A639">
        <v>5801</v>
      </c>
      <c r="B639" s="7" t="s">
        <v>537</v>
      </c>
      <c r="C639">
        <v>1</v>
      </c>
      <c r="D639">
        <v>126032268</v>
      </c>
      <c r="E639" s="8">
        <v>46082.602083333331</v>
      </c>
      <c r="F639" s="8">
        <v>46084.477083333331</v>
      </c>
      <c r="G639">
        <v>1</v>
      </c>
      <c r="H639">
        <v>2</v>
      </c>
      <c r="I639" t="str">
        <f t="shared" si="34"/>
        <v>63072026030200085801</v>
      </c>
      <c r="J639" t="str">
        <f>VLOOKUP(A639,Comuna_empresa!B:E,4,0)</f>
        <v>Quilpué</v>
      </c>
    </row>
    <row r="640" spans="1:10">
      <c r="A640">
        <v>5801</v>
      </c>
      <c r="B640" s="7" t="s">
        <v>538</v>
      </c>
      <c r="C640">
        <v>1</v>
      </c>
      <c r="D640">
        <v>126032269</v>
      </c>
      <c r="E640" s="8">
        <v>46082.602083333331</v>
      </c>
      <c r="F640" s="8">
        <v>46084.477083333331</v>
      </c>
      <c r="G640">
        <v>1</v>
      </c>
      <c r="H640">
        <v>2</v>
      </c>
      <c r="I640" t="str">
        <f t="shared" si="34"/>
        <v>63072026030200155801</v>
      </c>
      <c r="J640" t="str">
        <f>VLOOKUP(A640,Comuna_empresa!B:E,4,0)</f>
        <v>Quilpué</v>
      </c>
    </row>
    <row r="641" spans="1:10">
      <c r="A641">
        <v>5801</v>
      </c>
      <c r="B641" s="7" t="s">
        <v>539</v>
      </c>
      <c r="C641">
        <v>1</v>
      </c>
      <c r="D641">
        <v>126032270</v>
      </c>
      <c r="E641" s="8">
        <v>46082.602083333331</v>
      </c>
      <c r="F641" s="8">
        <v>46084.477083333331</v>
      </c>
      <c r="G641">
        <v>1</v>
      </c>
      <c r="H641">
        <v>2</v>
      </c>
      <c r="I641" t="str">
        <f t="shared" si="34"/>
        <v>63072026030200205801</v>
      </c>
      <c r="J641" t="str">
        <f>VLOOKUP(A641,Comuna_empresa!B:E,4,0)</f>
        <v>Quilpué</v>
      </c>
    </row>
    <row r="642" spans="1:10">
      <c r="A642">
        <v>5801</v>
      </c>
      <c r="B642" s="7" t="s">
        <v>540</v>
      </c>
      <c r="C642">
        <v>1</v>
      </c>
      <c r="D642">
        <v>126032271</v>
      </c>
      <c r="E642" s="8">
        <v>46082.602083333331</v>
      </c>
      <c r="F642" s="8">
        <v>46084.477083333331</v>
      </c>
      <c r="G642">
        <v>1</v>
      </c>
      <c r="H642">
        <v>2</v>
      </c>
      <c r="I642" t="str">
        <f t="shared" si="34"/>
        <v>63072026030200345801</v>
      </c>
      <c r="J642" t="str">
        <f>VLOOKUP(A642,Comuna_empresa!B:E,4,0)</f>
        <v>Quilpué</v>
      </c>
    </row>
    <row r="643" spans="1:10">
      <c r="A643">
        <v>5801</v>
      </c>
      <c r="B643" s="7" t="s">
        <v>541</v>
      </c>
      <c r="C643">
        <v>1</v>
      </c>
      <c r="D643">
        <v>126032272</v>
      </c>
      <c r="E643" s="8">
        <v>46082.602083333331</v>
      </c>
      <c r="F643" s="8">
        <v>46084.477083333331</v>
      </c>
      <c r="G643">
        <v>1</v>
      </c>
      <c r="H643">
        <v>2</v>
      </c>
      <c r="I643" t="str">
        <f t="shared" si="34"/>
        <v>63072026030200355801</v>
      </c>
      <c r="J643" t="str">
        <f>VLOOKUP(A643,Comuna_empresa!B:E,4,0)</f>
        <v>Quilpué</v>
      </c>
    </row>
    <row r="644" spans="1:10">
      <c r="A644">
        <v>5601</v>
      </c>
      <c r="B644" s="7" t="s">
        <v>542</v>
      </c>
      <c r="C644">
        <v>1</v>
      </c>
      <c r="D644">
        <v>126031699</v>
      </c>
      <c r="E644" s="8">
        <v>46089.626388888886</v>
      </c>
      <c r="F644" s="8">
        <v>46091.501388888886</v>
      </c>
      <c r="G644">
        <v>1</v>
      </c>
      <c r="H644">
        <v>2</v>
      </c>
      <c r="I644" t="str">
        <f t="shared" si="34"/>
        <v>63072026030700645601</v>
      </c>
      <c r="J644" t="str">
        <f>VLOOKUP(A644,Comuna_empresa!B:E,4,0)</f>
        <v>San Antonio</v>
      </c>
    </row>
    <row r="645" spans="1:10">
      <c r="A645">
        <v>5603</v>
      </c>
      <c r="B645" s="7" t="s">
        <v>543</v>
      </c>
      <c r="C645">
        <v>1</v>
      </c>
      <c r="D645">
        <v>126031875</v>
      </c>
      <c r="E645" s="8">
        <v>46089.626388888886</v>
      </c>
      <c r="F645" s="8">
        <v>46091.501388888886</v>
      </c>
      <c r="G645">
        <v>1</v>
      </c>
      <c r="H645">
        <v>2</v>
      </c>
      <c r="I645" t="str">
        <f t="shared" si="34"/>
        <v>63072026030800275603</v>
      </c>
      <c r="J645" t="str">
        <f>VLOOKUP(A645,Comuna_empresa!B:E,4,0)</f>
        <v>Cartagena</v>
      </c>
    </row>
    <row r="646" spans="1:10">
      <c r="A646">
        <v>5603</v>
      </c>
      <c r="B646" s="7" t="s">
        <v>544</v>
      </c>
      <c r="C646">
        <v>1</v>
      </c>
      <c r="D646">
        <v>126031876</v>
      </c>
      <c r="E646" s="8">
        <v>46089.626388888886</v>
      </c>
      <c r="F646" s="8">
        <v>46091.501388888886</v>
      </c>
      <c r="G646">
        <v>1</v>
      </c>
      <c r="H646">
        <v>2</v>
      </c>
      <c r="I646" t="str">
        <f t="shared" si="34"/>
        <v>63072026030800285603</v>
      </c>
      <c r="J646" t="str">
        <f>VLOOKUP(A646,Comuna_empresa!B:E,4,0)</f>
        <v>Cartagena</v>
      </c>
    </row>
    <row r="647" spans="1:10">
      <c r="A647">
        <v>5601</v>
      </c>
      <c r="B647" s="7" t="s">
        <v>545</v>
      </c>
      <c r="C647">
        <v>1</v>
      </c>
      <c r="D647">
        <v>126031700</v>
      </c>
      <c r="E647" s="8">
        <v>46089.626388888886</v>
      </c>
      <c r="F647" s="8">
        <v>46091.501388888886</v>
      </c>
      <c r="G647">
        <v>4</v>
      </c>
      <c r="H647">
        <v>2</v>
      </c>
      <c r="I647" t="str">
        <f t="shared" si="34"/>
        <v>63072026030800375601</v>
      </c>
      <c r="J647" t="str">
        <f>VLOOKUP(A647,Comuna_empresa!B:E,4,0)</f>
        <v>San Antonio</v>
      </c>
    </row>
    <row r="648" spans="1:10">
      <c r="A648">
        <v>5601</v>
      </c>
      <c r="B648" s="7" t="s">
        <v>545</v>
      </c>
      <c r="C648">
        <v>2</v>
      </c>
      <c r="D648">
        <v>126031701</v>
      </c>
      <c r="E648" s="8">
        <v>46089.626388888886</v>
      </c>
      <c r="F648" s="8">
        <v>46091.501388888886</v>
      </c>
      <c r="G648">
        <v>4</v>
      </c>
      <c r="H648">
        <v>2</v>
      </c>
      <c r="I648" t="str">
        <f t="shared" si="34"/>
        <v>63072026030800375601</v>
      </c>
      <c r="J648" t="str">
        <f>VLOOKUP(A648,Comuna_empresa!B:E,4,0)</f>
        <v>San Antonio</v>
      </c>
    </row>
    <row r="649" spans="1:10">
      <c r="A649">
        <v>5603</v>
      </c>
      <c r="B649" s="7" t="s">
        <v>545</v>
      </c>
      <c r="C649">
        <v>1</v>
      </c>
      <c r="D649">
        <v>126031877</v>
      </c>
      <c r="E649" s="8">
        <v>46089.626388888886</v>
      </c>
      <c r="F649" s="8">
        <v>46091.501388888886</v>
      </c>
      <c r="G649">
        <v>4</v>
      </c>
      <c r="H649">
        <v>2</v>
      </c>
      <c r="I649" t="str">
        <f t="shared" si="34"/>
        <v>63072026030800375603</v>
      </c>
      <c r="J649" t="str">
        <f>VLOOKUP(A649,Comuna_empresa!B:E,4,0)</f>
        <v>Cartagena</v>
      </c>
    </row>
    <row r="650" spans="1:10">
      <c r="A650">
        <v>5603</v>
      </c>
      <c r="B650" s="7" t="s">
        <v>545</v>
      </c>
      <c r="C650">
        <v>2</v>
      </c>
      <c r="D650">
        <v>126031878</v>
      </c>
      <c r="E650" s="8">
        <v>46089.626388888886</v>
      </c>
      <c r="F650" s="8">
        <v>46091.501388888886</v>
      </c>
      <c r="G650">
        <v>4</v>
      </c>
      <c r="H650">
        <v>2</v>
      </c>
      <c r="I650" t="str">
        <f t="shared" si="34"/>
        <v>63072026030800375603</v>
      </c>
      <c r="J650" t="str">
        <f>VLOOKUP(A650,Comuna_empresa!B:E,4,0)</f>
        <v>Cartagena</v>
      </c>
    </row>
    <row r="651" spans="1:10">
      <c r="A651">
        <v>5101</v>
      </c>
      <c r="B651" s="7" t="s">
        <v>546</v>
      </c>
      <c r="C651">
        <v>1</v>
      </c>
      <c r="D651">
        <v>126030061</v>
      </c>
      <c r="E651" s="8">
        <v>46090.249305555553</v>
      </c>
      <c r="F651" s="8">
        <v>46091.749305555553</v>
      </c>
      <c r="G651">
        <v>4</v>
      </c>
      <c r="H651">
        <v>2</v>
      </c>
      <c r="I651" t="str">
        <f t="shared" si="34"/>
        <v>63072026030900015101</v>
      </c>
      <c r="J651" t="str">
        <f>VLOOKUP(A651,Comuna_empresa!B:E,4,0)</f>
        <v>Valparaíso</v>
      </c>
    </row>
    <row r="652" spans="1:10">
      <c r="A652">
        <v>5101</v>
      </c>
      <c r="B652" s="7" t="s">
        <v>547</v>
      </c>
      <c r="C652">
        <v>1</v>
      </c>
      <c r="D652">
        <v>126030062</v>
      </c>
      <c r="E652" s="8">
        <v>46090.249305555553</v>
      </c>
      <c r="F652" s="8">
        <v>46091.749305555553</v>
      </c>
      <c r="G652">
        <v>4</v>
      </c>
      <c r="H652">
        <v>2</v>
      </c>
      <c r="I652" t="str">
        <f t="shared" ref="I652:I715" si="35">"6307"&amp;MID(B652,7,18)&amp;A652</f>
        <v>63072026030900075101</v>
      </c>
      <c r="J652" t="str">
        <f>VLOOKUP(A652,Comuna_empresa!B:E,4,0)</f>
        <v>Valparaíso</v>
      </c>
    </row>
    <row r="653" spans="1:10">
      <c r="A653">
        <v>5603</v>
      </c>
      <c r="B653" s="7" t="s">
        <v>548</v>
      </c>
      <c r="C653">
        <v>1</v>
      </c>
      <c r="D653">
        <v>126031879</v>
      </c>
      <c r="E653" s="8">
        <v>46089.626388888886</v>
      </c>
      <c r="F653" s="8">
        <v>46091.501388888886</v>
      </c>
      <c r="G653">
        <v>1</v>
      </c>
      <c r="H653">
        <v>2</v>
      </c>
      <c r="I653" t="str">
        <f t="shared" si="35"/>
        <v>63072026030900185603</v>
      </c>
      <c r="J653" t="str">
        <f>VLOOKUP(A653,Comuna_empresa!B:E,4,0)</f>
        <v>Cartagena</v>
      </c>
    </row>
    <row r="654" spans="1:10">
      <c r="A654">
        <v>5601</v>
      </c>
      <c r="B654" s="7" t="s">
        <v>549</v>
      </c>
      <c r="C654">
        <v>1</v>
      </c>
      <c r="D654">
        <v>126031702</v>
      </c>
      <c r="E654" s="8">
        <v>46089.626388888886</v>
      </c>
      <c r="F654" s="8">
        <v>46091.501388888886</v>
      </c>
      <c r="G654">
        <v>1</v>
      </c>
      <c r="H654">
        <v>2</v>
      </c>
      <c r="I654" t="str">
        <f t="shared" si="35"/>
        <v>63072026030900215601</v>
      </c>
      <c r="J654" t="str">
        <f>VLOOKUP(A654,Comuna_empresa!B:E,4,0)</f>
        <v>San Antonio</v>
      </c>
    </row>
    <row r="655" spans="1:10">
      <c r="A655">
        <v>5601</v>
      </c>
      <c r="B655" s="7" t="s">
        <v>550</v>
      </c>
      <c r="C655">
        <v>1</v>
      </c>
      <c r="D655">
        <v>126031703</v>
      </c>
      <c r="E655" s="8">
        <v>46089.626388888886</v>
      </c>
      <c r="F655" s="8">
        <v>46091.501388888886</v>
      </c>
      <c r="G655">
        <v>1</v>
      </c>
      <c r="H655">
        <v>2</v>
      </c>
      <c r="I655" t="str">
        <f t="shared" si="35"/>
        <v>63072026030900245601</v>
      </c>
      <c r="J655" t="str">
        <f>VLOOKUP(A655,Comuna_empresa!B:E,4,0)</f>
        <v>San Antonio</v>
      </c>
    </row>
    <row r="656" spans="1:10">
      <c r="A656">
        <v>5101</v>
      </c>
      <c r="B656" s="7" t="s">
        <v>551</v>
      </c>
      <c r="C656">
        <v>1</v>
      </c>
      <c r="D656">
        <v>126030063</v>
      </c>
      <c r="E656" s="8">
        <v>46090.249305555553</v>
      </c>
      <c r="F656" s="8">
        <v>46091.749305555553</v>
      </c>
      <c r="G656">
        <v>1</v>
      </c>
      <c r="H656">
        <v>2</v>
      </c>
      <c r="I656" t="str">
        <f t="shared" si="35"/>
        <v>63072026030900295101</v>
      </c>
      <c r="J656" t="str">
        <f>VLOOKUP(A656,Comuna_empresa!B:E,4,0)</f>
        <v>Valparaíso</v>
      </c>
    </row>
    <row r="657" spans="1:10">
      <c r="A657">
        <v>5101</v>
      </c>
      <c r="B657" s="7" t="s">
        <v>552</v>
      </c>
      <c r="C657">
        <v>1</v>
      </c>
      <c r="D657">
        <v>126030064</v>
      </c>
      <c r="E657" s="8">
        <v>46090.249305555553</v>
      </c>
      <c r="F657" s="8">
        <v>46091.749305555553</v>
      </c>
      <c r="G657">
        <v>4</v>
      </c>
      <c r="H657">
        <v>2</v>
      </c>
      <c r="I657" t="str">
        <f t="shared" si="35"/>
        <v>63072026030900305101</v>
      </c>
      <c r="J657" t="str">
        <f>VLOOKUP(A657,Comuna_empresa!B:E,4,0)</f>
        <v>Valparaíso</v>
      </c>
    </row>
    <row r="658" spans="1:10">
      <c r="A658">
        <v>5101</v>
      </c>
      <c r="B658" s="7" t="s">
        <v>552</v>
      </c>
      <c r="C658">
        <v>2</v>
      </c>
      <c r="D658">
        <v>126030065</v>
      </c>
      <c r="E658" s="8">
        <v>46090.249305555553</v>
      </c>
      <c r="F658" s="8">
        <v>46091.749305555553</v>
      </c>
      <c r="G658">
        <v>4</v>
      </c>
      <c r="H658">
        <v>2</v>
      </c>
      <c r="I658" t="str">
        <f t="shared" si="35"/>
        <v>63072026030900305101</v>
      </c>
      <c r="J658" t="str">
        <f>VLOOKUP(A658,Comuna_empresa!B:E,4,0)</f>
        <v>Valparaíso</v>
      </c>
    </row>
    <row r="659" spans="1:10">
      <c r="A659">
        <v>5101</v>
      </c>
      <c r="B659" s="7" t="s">
        <v>552</v>
      </c>
      <c r="C659">
        <v>3</v>
      </c>
      <c r="D659">
        <v>126030066</v>
      </c>
      <c r="E659" s="8">
        <v>46090.249305555553</v>
      </c>
      <c r="F659" s="8">
        <v>46091.749305555553</v>
      </c>
      <c r="G659">
        <v>4</v>
      </c>
      <c r="H659">
        <v>2</v>
      </c>
      <c r="I659" t="str">
        <f t="shared" si="35"/>
        <v>63072026030900305101</v>
      </c>
      <c r="J659" t="str">
        <f>VLOOKUP(A659,Comuna_empresa!B:E,4,0)</f>
        <v>Valparaíso</v>
      </c>
    </row>
    <row r="660" spans="1:10">
      <c r="A660">
        <v>5601</v>
      </c>
      <c r="B660" s="7" t="s">
        <v>553</v>
      </c>
      <c r="C660">
        <v>1</v>
      </c>
      <c r="D660">
        <v>126031704</v>
      </c>
      <c r="E660" s="8">
        <v>46089.626388888886</v>
      </c>
      <c r="F660" s="8">
        <v>46091.501388888886</v>
      </c>
      <c r="G660">
        <v>1</v>
      </c>
      <c r="H660">
        <v>2</v>
      </c>
      <c r="I660" t="str">
        <f t="shared" si="35"/>
        <v>63072026030900315601</v>
      </c>
      <c r="J660" t="str">
        <f>VLOOKUP(A660,Comuna_empresa!B:E,4,0)</f>
        <v>San Antonio</v>
      </c>
    </row>
    <row r="661" spans="1:10">
      <c r="A661">
        <v>5101</v>
      </c>
      <c r="B661" s="7" t="s">
        <v>554</v>
      </c>
      <c r="C661">
        <v>1</v>
      </c>
      <c r="D661">
        <v>126030067</v>
      </c>
      <c r="E661" s="8">
        <v>46090.249305555553</v>
      </c>
      <c r="F661" s="8">
        <v>46091.749305555553</v>
      </c>
      <c r="G661">
        <v>1</v>
      </c>
      <c r="H661">
        <v>2</v>
      </c>
      <c r="I661" t="str">
        <f t="shared" si="35"/>
        <v>63072026030900395101</v>
      </c>
      <c r="J661" t="str">
        <f>VLOOKUP(A661,Comuna_empresa!B:E,4,0)</f>
        <v>Valparaíso</v>
      </c>
    </row>
    <row r="662" spans="1:10">
      <c r="A662">
        <v>5603</v>
      </c>
      <c r="B662" s="7" t="s">
        <v>555</v>
      </c>
      <c r="C662">
        <v>1</v>
      </c>
      <c r="D662">
        <v>126031880</v>
      </c>
      <c r="E662" s="8">
        <v>46089.626388888886</v>
      </c>
      <c r="F662" s="8">
        <v>46091.501388888886</v>
      </c>
      <c r="G662">
        <v>4</v>
      </c>
      <c r="H662">
        <v>2</v>
      </c>
      <c r="I662" t="str">
        <f t="shared" si="35"/>
        <v>63072026030900405603</v>
      </c>
      <c r="J662" t="str">
        <f>VLOOKUP(A662,Comuna_empresa!B:E,4,0)</f>
        <v>Cartagena</v>
      </c>
    </row>
    <row r="663" spans="1:10">
      <c r="A663">
        <v>5101</v>
      </c>
      <c r="B663" s="7" t="s">
        <v>556</v>
      </c>
      <c r="C663">
        <v>1</v>
      </c>
      <c r="D663">
        <v>126030068</v>
      </c>
      <c r="E663" s="8">
        <v>46090.249305555553</v>
      </c>
      <c r="F663" s="8">
        <v>46091.749305555553</v>
      </c>
      <c r="G663">
        <v>1</v>
      </c>
      <c r="H663">
        <v>2</v>
      </c>
      <c r="I663" t="str">
        <f t="shared" si="35"/>
        <v>63072026030900465101</v>
      </c>
      <c r="J663" t="str">
        <f>VLOOKUP(A663,Comuna_empresa!B:E,4,0)</f>
        <v>Valparaíso</v>
      </c>
    </row>
    <row r="664" spans="1:10">
      <c r="A664">
        <v>5101</v>
      </c>
      <c r="B664" s="7" t="s">
        <v>557</v>
      </c>
      <c r="C664">
        <v>1</v>
      </c>
      <c r="D664">
        <v>126030069</v>
      </c>
      <c r="E664" s="8">
        <v>46090.249305555553</v>
      </c>
      <c r="F664" s="8">
        <v>46091.749305555553</v>
      </c>
      <c r="G664">
        <v>4</v>
      </c>
      <c r="H664">
        <v>2</v>
      </c>
      <c r="I664" t="str">
        <f t="shared" si="35"/>
        <v>63072026030900485101</v>
      </c>
      <c r="J664" t="str">
        <f>VLOOKUP(A664,Comuna_empresa!B:E,4,0)</f>
        <v>Valparaíso</v>
      </c>
    </row>
    <row r="665" spans="1:10">
      <c r="A665">
        <v>5101</v>
      </c>
      <c r="B665" s="7" t="s">
        <v>558</v>
      </c>
      <c r="C665">
        <v>1</v>
      </c>
      <c r="D665">
        <v>126030070</v>
      </c>
      <c r="E665" s="8">
        <v>46090.249305555553</v>
      </c>
      <c r="F665" s="8">
        <v>46091.749305555553</v>
      </c>
      <c r="G665">
        <v>4</v>
      </c>
      <c r="H665">
        <v>2</v>
      </c>
      <c r="I665" t="str">
        <f t="shared" si="35"/>
        <v>63072026030900515101</v>
      </c>
      <c r="J665" t="str">
        <f>VLOOKUP(A665,Comuna_empresa!B:E,4,0)</f>
        <v>Valparaíso</v>
      </c>
    </row>
    <row r="666" spans="1:10">
      <c r="A666">
        <v>5101</v>
      </c>
      <c r="B666" s="7" t="s">
        <v>558</v>
      </c>
      <c r="C666">
        <v>2</v>
      </c>
      <c r="D666">
        <v>126030071</v>
      </c>
      <c r="E666" s="8">
        <v>46090.249305555553</v>
      </c>
      <c r="F666" s="8">
        <v>46091.749305555553</v>
      </c>
      <c r="G666">
        <v>4</v>
      </c>
      <c r="H666">
        <v>2</v>
      </c>
      <c r="I666" t="str">
        <f t="shared" si="35"/>
        <v>63072026030900515101</v>
      </c>
      <c r="J666" t="str">
        <f>VLOOKUP(A666,Comuna_empresa!B:E,4,0)</f>
        <v>Valparaíso</v>
      </c>
    </row>
    <row r="667" spans="1:10">
      <c r="A667">
        <v>5101</v>
      </c>
      <c r="B667" s="7" t="s">
        <v>558</v>
      </c>
      <c r="C667">
        <v>3</v>
      </c>
      <c r="D667">
        <v>126030072</v>
      </c>
      <c r="E667" s="8">
        <v>46090.249305555553</v>
      </c>
      <c r="F667" s="8">
        <v>46091.749305555553</v>
      </c>
      <c r="G667">
        <v>4</v>
      </c>
      <c r="H667">
        <v>2</v>
      </c>
      <c r="I667" t="str">
        <f t="shared" si="35"/>
        <v>63072026030900515101</v>
      </c>
      <c r="J667" t="str">
        <f>VLOOKUP(A667,Comuna_empresa!B:E,4,0)</f>
        <v>Valparaíso</v>
      </c>
    </row>
    <row r="668" spans="1:10">
      <c r="A668">
        <v>5101</v>
      </c>
      <c r="B668" s="7" t="s">
        <v>559</v>
      </c>
      <c r="C668">
        <v>1</v>
      </c>
      <c r="D668">
        <v>126030073</v>
      </c>
      <c r="E668" s="8">
        <v>46090.249305555553</v>
      </c>
      <c r="F668" s="8">
        <v>46091.749305555553</v>
      </c>
      <c r="G668">
        <v>4</v>
      </c>
      <c r="H668">
        <v>2</v>
      </c>
      <c r="I668" t="str">
        <f t="shared" si="35"/>
        <v>63072026030900525101</v>
      </c>
      <c r="J668" t="str">
        <f>VLOOKUP(A668,Comuna_empresa!B:E,4,0)</f>
        <v>Valparaíso</v>
      </c>
    </row>
    <row r="669" spans="1:10">
      <c r="A669">
        <v>5101</v>
      </c>
      <c r="B669" s="7" t="s">
        <v>560</v>
      </c>
      <c r="C669">
        <v>1</v>
      </c>
      <c r="D669">
        <v>126030074</v>
      </c>
      <c r="E669" s="8">
        <v>46090.249305555553</v>
      </c>
      <c r="F669" s="8">
        <v>46091.749305555553</v>
      </c>
      <c r="G669">
        <v>4</v>
      </c>
      <c r="H669">
        <v>2</v>
      </c>
      <c r="I669" t="str">
        <f t="shared" si="35"/>
        <v>63072026030900535101</v>
      </c>
      <c r="J669" t="str">
        <f>VLOOKUP(A669,Comuna_empresa!B:E,4,0)</f>
        <v>Valparaíso</v>
      </c>
    </row>
    <row r="670" spans="1:10">
      <c r="A670">
        <v>5101</v>
      </c>
      <c r="B670" s="7" t="s">
        <v>560</v>
      </c>
      <c r="C670">
        <v>2</v>
      </c>
      <c r="D670">
        <v>126030075</v>
      </c>
      <c r="E670" s="8">
        <v>46090.249305555553</v>
      </c>
      <c r="F670" s="8">
        <v>46091.749305555553</v>
      </c>
      <c r="G670">
        <v>4</v>
      </c>
      <c r="H670">
        <v>2</v>
      </c>
      <c r="I670" t="str">
        <f t="shared" si="35"/>
        <v>63072026030900535101</v>
      </c>
      <c r="J670" t="str">
        <f>VLOOKUP(A670,Comuna_empresa!B:E,4,0)</f>
        <v>Valparaíso</v>
      </c>
    </row>
    <row r="671" spans="1:10">
      <c r="A671">
        <v>5101</v>
      </c>
      <c r="B671" s="7" t="s">
        <v>560</v>
      </c>
      <c r="C671">
        <v>3</v>
      </c>
      <c r="D671">
        <v>126030076</v>
      </c>
      <c r="E671" s="8">
        <v>46090.249305555553</v>
      </c>
      <c r="F671" s="8">
        <v>46091.749305555553</v>
      </c>
      <c r="G671">
        <v>4</v>
      </c>
      <c r="H671">
        <v>2</v>
      </c>
      <c r="I671" t="str">
        <f t="shared" si="35"/>
        <v>63072026030900535101</v>
      </c>
      <c r="J671" t="str">
        <f>VLOOKUP(A671,Comuna_empresa!B:E,4,0)</f>
        <v>Valparaíso</v>
      </c>
    </row>
    <row r="672" spans="1:10">
      <c r="A672">
        <v>5101</v>
      </c>
      <c r="B672" s="7" t="s">
        <v>560</v>
      </c>
      <c r="C672">
        <v>4</v>
      </c>
      <c r="D672">
        <v>126030077</v>
      </c>
      <c r="E672" s="8">
        <v>46090.249305555553</v>
      </c>
      <c r="F672" s="8">
        <v>46091.749305555553</v>
      </c>
      <c r="G672">
        <v>4</v>
      </c>
      <c r="H672">
        <v>2</v>
      </c>
      <c r="I672" t="str">
        <f t="shared" si="35"/>
        <v>63072026030900535101</v>
      </c>
      <c r="J672" t="str">
        <f>VLOOKUP(A672,Comuna_empresa!B:E,4,0)</f>
        <v>Valparaíso</v>
      </c>
    </row>
    <row r="673" spans="1:10">
      <c r="A673">
        <v>5101</v>
      </c>
      <c r="B673" s="7" t="s">
        <v>561</v>
      </c>
      <c r="C673">
        <v>2</v>
      </c>
      <c r="D673">
        <v>126030078</v>
      </c>
      <c r="E673" s="8">
        <v>46090.249305555553</v>
      </c>
      <c r="F673" s="8">
        <v>46091.749305555553</v>
      </c>
      <c r="G673">
        <v>4</v>
      </c>
      <c r="H673">
        <v>2</v>
      </c>
      <c r="I673" t="str">
        <f t="shared" si="35"/>
        <v>63072026031000025101</v>
      </c>
      <c r="J673" t="str">
        <f>VLOOKUP(A673,Comuna_empresa!B:E,4,0)</f>
        <v>Valparaíso</v>
      </c>
    </row>
    <row r="674" spans="1:10">
      <c r="A674">
        <v>5101</v>
      </c>
      <c r="B674" s="7" t="s">
        <v>562</v>
      </c>
      <c r="C674">
        <v>1</v>
      </c>
      <c r="D674">
        <v>126030079</v>
      </c>
      <c r="E674" s="8">
        <v>46090.249305555553</v>
      </c>
      <c r="F674" s="8">
        <v>46091.749305555553</v>
      </c>
      <c r="G674">
        <v>4</v>
      </c>
      <c r="H674">
        <v>2</v>
      </c>
      <c r="I674" t="str">
        <f t="shared" si="35"/>
        <v>63072026031000035101</v>
      </c>
      <c r="J674" t="str">
        <f>VLOOKUP(A674,Comuna_empresa!B:E,4,0)</f>
        <v>Valparaíso</v>
      </c>
    </row>
    <row r="675" spans="1:10">
      <c r="A675">
        <v>5101</v>
      </c>
      <c r="B675" s="7" t="s">
        <v>563</v>
      </c>
      <c r="C675">
        <v>1</v>
      </c>
      <c r="D675">
        <v>126030080</v>
      </c>
      <c r="E675" s="8">
        <v>46090.249305555553</v>
      </c>
      <c r="F675" s="8">
        <v>46091.749305555553</v>
      </c>
      <c r="G675">
        <v>1</v>
      </c>
      <c r="H675">
        <v>2</v>
      </c>
      <c r="I675" t="str">
        <f t="shared" si="35"/>
        <v>63072026031000055101</v>
      </c>
      <c r="J675" t="str">
        <f>VLOOKUP(A675,Comuna_empresa!B:E,4,0)</f>
        <v>Valparaíso</v>
      </c>
    </row>
    <row r="676" spans="1:10">
      <c r="A676">
        <v>5601</v>
      </c>
      <c r="B676" s="7" t="s">
        <v>564</v>
      </c>
      <c r="C676">
        <v>1</v>
      </c>
      <c r="D676">
        <v>126031705</v>
      </c>
      <c r="E676" s="8">
        <v>46089.626388888886</v>
      </c>
      <c r="F676" s="8">
        <v>46091.501388888886</v>
      </c>
      <c r="G676">
        <v>1</v>
      </c>
      <c r="H676">
        <v>2</v>
      </c>
      <c r="I676" t="str">
        <f t="shared" si="35"/>
        <v>63072026031000145601</v>
      </c>
      <c r="J676" t="str">
        <f>VLOOKUP(A676,Comuna_empresa!B:E,4,0)</f>
        <v>San Antonio</v>
      </c>
    </row>
    <row r="677" spans="1:10">
      <c r="A677">
        <v>5101</v>
      </c>
      <c r="B677" s="7" t="s">
        <v>565</v>
      </c>
      <c r="C677">
        <v>1</v>
      </c>
      <c r="D677">
        <v>126030081</v>
      </c>
      <c r="E677" s="8">
        <v>46090.249305555553</v>
      </c>
      <c r="F677" s="8">
        <v>46091.749305555553</v>
      </c>
      <c r="G677">
        <v>4</v>
      </c>
      <c r="H677">
        <v>2</v>
      </c>
      <c r="I677" t="str">
        <f t="shared" si="35"/>
        <v>63072026031000155101</v>
      </c>
      <c r="J677" t="str">
        <f>VLOOKUP(A677,Comuna_empresa!B:E,4,0)</f>
        <v>Valparaíso</v>
      </c>
    </row>
    <row r="678" spans="1:10">
      <c r="A678">
        <v>5601</v>
      </c>
      <c r="B678" s="7" t="s">
        <v>566</v>
      </c>
      <c r="C678">
        <v>1</v>
      </c>
      <c r="D678">
        <v>126031706</v>
      </c>
      <c r="E678" s="8">
        <v>46089.626388888886</v>
      </c>
      <c r="F678" s="8">
        <v>46091.501388888886</v>
      </c>
      <c r="G678">
        <v>1</v>
      </c>
      <c r="H678">
        <v>2</v>
      </c>
      <c r="I678" t="str">
        <f t="shared" si="35"/>
        <v>63072026031000165601</v>
      </c>
      <c r="J678" t="str">
        <f>VLOOKUP(A678,Comuna_empresa!B:E,4,0)</f>
        <v>San Antonio</v>
      </c>
    </row>
    <row r="679" spans="1:10">
      <c r="A679">
        <v>5101</v>
      </c>
      <c r="B679" s="7" t="s">
        <v>567</v>
      </c>
      <c r="C679">
        <v>1</v>
      </c>
      <c r="D679">
        <v>126030082</v>
      </c>
      <c r="E679" s="8">
        <v>46090.249305555553</v>
      </c>
      <c r="F679" s="8">
        <v>46091.749305555553</v>
      </c>
      <c r="G679">
        <v>1</v>
      </c>
      <c r="H679">
        <v>2</v>
      </c>
      <c r="I679" t="str">
        <f t="shared" si="35"/>
        <v>63072026031000175101</v>
      </c>
      <c r="J679" t="str">
        <f>VLOOKUP(A679,Comuna_empresa!B:E,4,0)</f>
        <v>Valparaíso</v>
      </c>
    </row>
    <row r="680" spans="1:10">
      <c r="A680">
        <v>5101</v>
      </c>
      <c r="B680" s="7" t="s">
        <v>568</v>
      </c>
      <c r="C680">
        <v>1</v>
      </c>
      <c r="D680">
        <v>126030083</v>
      </c>
      <c r="E680" s="8">
        <v>46090.249305555553</v>
      </c>
      <c r="F680" s="8">
        <v>46091.749305555553</v>
      </c>
      <c r="G680">
        <v>1</v>
      </c>
      <c r="H680">
        <v>2</v>
      </c>
      <c r="I680" t="str">
        <f t="shared" si="35"/>
        <v>63072026031000195101</v>
      </c>
      <c r="J680" t="str">
        <f>VLOOKUP(A680,Comuna_empresa!B:E,4,0)</f>
        <v>Valparaíso</v>
      </c>
    </row>
    <row r="681" spans="1:10">
      <c r="A681">
        <v>5101</v>
      </c>
      <c r="B681" s="7" t="s">
        <v>569</v>
      </c>
      <c r="C681">
        <v>1</v>
      </c>
      <c r="D681">
        <v>126030084</v>
      </c>
      <c r="E681" s="8">
        <v>46090.249305555553</v>
      </c>
      <c r="F681" s="8">
        <v>46091.749305555553</v>
      </c>
      <c r="G681">
        <v>4</v>
      </c>
      <c r="H681">
        <v>2</v>
      </c>
      <c r="I681" t="str">
        <f t="shared" si="35"/>
        <v>63072026031000205101</v>
      </c>
      <c r="J681" t="str">
        <f>VLOOKUP(A681,Comuna_empresa!B:E,4,0)</f>
        <v>Valparaíso</v>
      </c>
    </row>
    <row r="682" spans="1:10">
      <c r="A682">
        <v>5101</v>
      </c>
      <c r="B682" s="7" t="s">
        <v>570</v>
      </c>
      <c r="C682">
        <v>1</v>
      </c>
      <c r="D682">
        <v>126030085</v>
      </c>
      <c r="E682" s="8">
        <v>46090.249305555553</v>
      </c>
      <c r="F682" s="8">
        <v>46091.749305555553</v>
      </c>
      <c r="G682">
        <v>1</v>
      </c>
      <c r="H682">
        <v>2</v>
      </c>
      <c r="I682" t="str">
        <f t="shared" si="35"/>
        <v>63072026031000245101</v>
      </c>
      <c r="J682" t="str">
        <f>VLOOKUP(A682,Comuna_empresa!B:E,4,0)</f>
        <v>Valparaíso</v>
      </c>
    </row>
    <row r="683" spans="1:10">
      <c r="A683">
        <v>5101</v>
      </c>
      <c r="B683" s="7" t="s">
        <v>571</v>
      </c>
      <c r="C683">
        <v>1</v>
      </c>
      <c r="D683">
        <v>126030086</v>
      </c>
      <c r="E683" s="8">
        <v>46090.249305555553</v>
      </c>
      <c r="F683" s="8">
        <v>46091.749305555553</v>
      </c>
      <c r="G683">
        <v>1</v>
      </c>
      <c r="H683">
        <v>2</v>
      </c>
      <c r="I683" t="str">
        <f t="shared" si="35"/>
        <v>63072026031000255101</v>
      </c>
      <c r="J683" t="str">
        <f>VLOOKUP(A683,Comuna_empresa!B:E,4,0)</f>
        <v>Valparaíso</v>
      </c>
    </row>
    <row r="684" spans="1:10">
      <c r="A684">
        <v>5101</v>
      </c>
      <c r="B684" s="7" t="s">
        <v>572</v>
      </c>
      <c r="C684">
        <v>1</v>
      </c>
      <c r="D684">
        <v>126030087</v>
      </c>
      <c r="E684" s="8">
        <v>46090.249305555553</v>
      </c>
      <c r="F684" s="8">
        <v>46091.749305555553</v>
      </c>
      <c r="G684">
        <v>1</v>
      </c>
      <c r="H684">
        <v>2</v>
      </c>
      <c r="I684" t="str">
        <f t="shared" si="35"/>
        <v>63072026031000315101</v>
      </c>
      <c r="J684" t="str">
        <f>VLOOKUP(A684,Comuna_empresa!B:E,4,0)</f>
        <v>Valparaíso</v>
      </c>
    </row>
    <row r="685" spans="1:10">
      <c r="A685">
        <v>5101</v>
      </c>
      <c r="B685" s="7" t="s">
        <v>573</v>
      </c>
      <c r="C685">
        <v>1</v>
      </c>
      <c r="D685">
        <v>126030088</v>
      </c>
      <c r="E685" s="8">
        <v>46090.249305555553</v>
      </c>
      <c r="F685" s="8">
        <v>46091.749305555553</v>
      </c>
      <c r="G685">
        <v>1</v>
      </c>
      <c r="H685">
        <v>2</v>
      </c>
      <c r="I685" t="str">
        <f t="shared" si="35"/>
        <v>63072026031000385101</v>
      </c>
      <c r="J685" t="str">
        <f>VLOOKUP(A685,Comuna_empresa!B:E,4,0)</f>
        <v>Valparaíso</v>
      </c>
    </row>
    <row r="686" spans="1:10">
      <c r="A686">
        <v>5101</v>
      </c>
      <c r="B686" s="7" t="s">
        <v>574</v>
      </c>
      <c r="C686">
        <v>1</v>
      </c>
      <c r="D686">
        <v>126030089</v>
      </c>
      <c r="E686" s="8">
        <v>46090.249305555553</v>
      </c>
      <c r="F686" s="8">
        <v>46091.749305555553</v>
      </c>
      <c r="G686">
        <v>1</v>
      </c>
      <c r="H686">
        <v>2</v>
      </c>
      <c r="I686" t="str">
        <f t="shared" si="35"/>
        <v>63072026031000425101</v>
      </c>
      <c r="J686" t="str">
        <f>VLOOKUP(A686,Comuna_empresa!B:E,4,0)</f>
        <v>Valparaíso</v>
      </c>
    </row>
    <row r="687" spans="1:10">
      <c r="A687">
        <v>5606</v>
      </c>
      <c r="B687" s="7" t="s">
        <v>575</v>
      </c>
      <c r="C687">
        <v>1</v>
      </c>
      <c r="D687">
        <v>126031954</v>
      </c>
      <c r="E687" s="8">
        <v>46097.787499999999</v>
      </c>
      <c r="F687" s="8">
        <v>46100.787499999999</v>
      </c>
      <c r="G687">
        <v>4</v>
      </c>
      <c r="H687">
        <v>2</v>
      </c>
      <c r="I687" t="str">
        <f t="shared" si="35"/>
        <v>63072026031600445606</v>
      </c>
      <c r="J687" t="str">
        <f>VLOOKUP(A687,Comuna_empresa!B:E,4,0)</f>
        <v>Santo Domingo</v>
      </c>
    </row>
    <row r="688" spans="1:10">
      <c r="A688">
        <v>5606</v>
      </c>
      <c r="B688" s="7" t="s">
        <v>576</v>
      </c>
      <c r="C688">
        <v>1</v>
      </c>
      <c r="D688">
        <v>126031955</v>
      </c>
      <c r="E688" s="8">
        <v>46097.787499999999</v>
      </c>
      <c r="F688" s="8">
        <v>46100.787499999999</v>
      </c>
      <c r="G688">
        <v>1</v>
      </c>
      <c r="H688">
        <v>2</v>
      </c>
      <c r="I688" t="str">
        <f t="shared" si="35"/>
        <v>63072026031600585606</v>
      </c>
      <c r="J688" t="str">
        <f>VLOOKUP(A688,Comuna_empresa!B:E,4,0)</f>
        <v>Santo Domingo</v>
      </c>
    </row>
    <row r="689" spans="1:10">
      <c r="A689">
        <v>5606</v>
      </c>
      <c r="B689" s="7" t="s">
        <v>577</v>
      </c>
      <c r="C689">
        <v>1</v>
      </c>
      <c r="D689">
        <v>126031956</v>
      </c>
      <c r="E689" s="8">
        <v>46097.787499999999</v>
      </c>
      <c r="F689" s="8">
        <v>46100.787499999999</v>
      </c>
      <c r="G689">
        <v>4</v>
      </c>
      <c r="H689">
        <v>2</v>
      </c>
      <c r="I689" t="str">
        <f t="shared" si="35"/>
        <v>63072026031600595606</v>
      </c>
      <c r="J689" t="str">
        <f>VLOOKUP(A689,Comuna_empresa!B:E,4,0)</f>
        <v>Santo Domingo</v>
      </c>
    </row>
    <row r="690" spans="1:10">
      <c r="A690">
        <v>5606</v>
      </c>
      <c r="B690" s="7" t="s">
        <v>578</v>
      </c>
      <c r="C690">
        <v>2</v>
      </c>
      <c r="D690">
        <v>126031957</v>
      </c>
      <c r="E690" s="8">
        <v>46097.787499999999</v>
      </c>
      <c r="F690" s="8">
        <v>46100.787499999999</v>
      </c>
      <c r="G690">
        <v>8</v>
      </c>
      <c r="H690">
        <v>2</v>
      </c>
      <c r="I690" t="str">
        <f t="shared" si="35"/>
        <v>63072026031600615606</v>
      </c>
      <c r="J690" t="str">
        <f>VLOOKUP(A690,Comuna_empresa!B:E,4,0)</f>
        <v>Santo Domingo</v>
      </c>
    </row>
    <row r="691" spans="1:10">
      <c r="A691">
        <v>5606</v>
      </c>
      <c r="B691" s="7" t="s">
        <v>579</v>
      </c>
      <c r="C691">
        <v>1</v>
      </c>
      <c r="D691">
        <v>126031958</v>
      </c>
      <c r="E691" s="8">
        <v>46097.787499999999</v>
      </c>
      <c r="F691" s="8">
        <v>46100.787499999999</v>
      </c>
      <c r="G691">
        <v>4</v>
      </c>
      <c r="H691">
        <v>2</v>
      </c>
      <c r="I691" t="str">
        <f t="shared" si="35"/>
        <v>63072026031600625606</v>
      </c>
      <c r="J691" t="str">
        <f>VLOOKUP(A691,Comuna_empresa!B:E,4,0)</f>
        <v>Santo Domingo</v>
      </c>
    </row>
    <row r="692" spans="1:10">
      <c r="A692">
        <v>5606</v>
      </c>
      <c r="B692" s="7" t="s">
        <v>579</v>
      </c>
      <c r="C692">
        <v>2</v>
      </c>
      <c r="D692">
        <v>126031959</v>
      </c>
      <c r="E692" s="8">
        <v>46097.787499999999</v>
      </c>
      <c r="F692" s="8">
        <v>46100.787499999999</v>
      </c>
      <c r="G692">
        <v>4</v>
      </c>
      <c r="H692">
        <v>2</v>
      </c>
      <c r="I692" t="str">
        <f t="shared" si="35"/>
        <v>63072026031600625606</v>
      </c>
      <c r="J692" t="str">
        <f>VLOOKUP(A692,Comuna_empresa!B:E,4,0)</f>
        <v>Santo Domingo</v>
      </c>
    </row>
    <row r="693" spans="1:10">
      <c r="A693">
        <v>5606</v>
      </c>
      <c r="B693" s="7" t="s">
        <v>579</v>
      </c>
      <c r="C693">
        <v>3</v>
      </c>
      <c r="D693">
        <v>126031960</v>
      </c>
      <c r="E693" s="8">
        <v>46097.787499999999</v>
      </c>
      <c r="F693" s="8">
        <v>46100.787499999999</v>
      </c>
      <c r="G693">
        <v>4</v>
      </c>
      <c r="H693">
        <v>2</v>
      </c>
      <c r="I693" t="str">
        <f t="shared" si="35"/>
        <v>63072026031600625606</v>
      </c>
      <c r="J693" t="str">
        <f>VLOOKUP(A693,Comuna_empresa!B:E,4,0)</f>
        <v>Santo Domingo</v>
      </c>
    </row>
    <row r="694" spans="1:10">
      <c r="A694">
        <v>5606</v>
      </c>
      <c r="B694" s="7" t="s">
        <v>579</v>
      </c>
      <c r="C694">
        <v>5</v>
      </c>
      <c r="D694">
        <v>126031961</v>
      </c>
      <c r="E694" s="8">
        <v>46097.787499999999</v>
      </c>
      <c r="F694" s="8">
        <v>46100.787499999999</v>
      </c>
      <c r="G694">
        <v>4</v>
      </c>
      <c r="H694">
        <v>2</v>
      </c>
      <c r="I694" t="str">
        <f t="shared" si="35"/>
        <v>63072026031600625606</v>
      </c>
      <c r="J694" t="str">
        <f>VLOOKUP(A694,Comuna_empresa!B:E,4,0)</f>
        <v>Santo Domingo</v>
      </c>
    </row>
    <row r="695" spans="1:10">
      <c r="A695">
        <v>5606</v>
      </c>
      <c r="B695" s="7" t="s">
        <v>579</v>
      </c>
      <c r="C695">
        <v>6</v>
      </c>
      <c r="D695">
        <v>126031962</v>
      </c>
      <c r="E695" s="8">
        <v>46097.787499999999</v>
      </c>
      <c r="F695" s="8">
        <v>46100.787499999999</v>
      </c>
      <c r="G695">
        <v>4</v>
      </c>
      <c r="H695">
        <v>2</v>
      </c>
      <c r="I695" t="str">
        <f t="shared" si="35"/>
        <v>63072026031600625606</v>
      </c>
      <c r="J695" t="str">
        <f>VLOOKUP(A695,Comuna_empresa!B:E,4,0)</f>
        <v>Santo Domingo</v>
      </c>
    </row>
    <row r="696" spans="1:10">
      <c r="A696">
        <v>5606</v>
      </c>
      <c r="B696" s="7" t="s">
        <v>580</v>
      </c>
      <c r="C696">
        <v>1</v>
      </c>
      <c r="D696">
        <v>126031963</v>
      </c>
      <c r="E696" s="8">
        <v>46097.787499999999</v>
      </c>
      <c r="F696" s="8">
        <v>46100.787499999999</v>
      </c>
      <c r="G696">
        <v>4</v>
      </c>
      <c r="H696">
        <v>2</v>
      </c>
      <c r="I696" t="str">
        <f t="shared" si="35"/>
        <v>63072026031600635606</v>
      </c>
      <c r="J696" t="str">
        <f>VLOOKUP(A696,Comuna_empresa!B:E,4,0)</f>
        <v>Santo Domingo</v>
      </c>
    </row>
    <row r="697" spans="1:10">
      <c r="A697">
        <v>5606</v>
      </c>
      <c r="B697" s="7" t="s">
        <v>581</v>
      </c>
      <c r="C697">
        <v>1</v>
      </c>
      <c r="D697">
        <v>126031964</v>
      </c>
      <c r="E697" s="8">
        <v>46097.787499999999</v>
      </c>
      <c r="F697" s="8">
        <v>46100.787499999999</v>
      </c>
      <c r="G697">
        <v>1</v>
      </c>
      <c r="H697">
        <v>2</v>
      </c>
      <c r="I697" t="str">
        <f t="shared" si="35"/>
        <v>63072026031700345606</v>
      </c>
      <c r="J697" t="str">
        <f>VLOOKUP(A697,Comuna_empresa!B:E,4,0)</f>
        <v>Santo Domingo</v>
      </c>
    </row>
    <row r="698" spans="1:10">
      <c r="A698">
        <v>5606</v>
      </c>
      <c r="B698" s="7" t="s">
        <v>582</v>
      </c>
      <c r="C698">
        <v>1</v>
      </c>
      <c r="D698">
        <v>126031965</v>
      </c>
      <c r="E698" s="8">
        <v>46097.787499999999</v>
      </c>
      <c r="F698" s="8">
        <v>46100.787499999999</v>
      </c>
      <c r="G698">
        <v>4</v>
      </c>
      <c r="H698">
        <v>2</v>
      </c>
      <c r="I698" t="str">
        <f t="shared" si="35"/>
        <v>63072026031700465606</v>
      </c>
      <c r="J698" t="str">
        <f>VLOOKUP(A698,Comuna_empresa!B:E,4,0)</f>
        <v>Santo Domingo</v>
      </c>
    </row>
    <row r="699" spans="1:10">
      <c r="A699">
        <v>5606</v>
      </c>
      <c r="B699" s="7" t="s">
        <v>583</v>
      </c>
      <c r="C699">
        <v>1</v>
      </c>
      <c r="D699">
        <v>126031966</v>
      </c>
      <c r="E699" s="8">
        <v>46097.787499999999</v>
      </c>
      <c r="F699" s="8">
        <v>46100.787499999999</v>
      </c>
      <c r="G699">
        <v>1</v>
      </c>
      <c r="H699">
        <v>2</v>
      </c>
      <c r="I699" t="str">
        <f t="shared" si="35"/>
        <v>63072026031900335606</v>
      </c>
      <c r="J699" t="str">
        <f>VLOOKUP(A699,Comuna_empresa!B:E,4,0)</f>
        <v>Santo Domingo</v>
      </c>
    </row>
    <row r="700" spans="1:10">
      <c r="A700">
        <v>5501</v>
      </c>
      <c r="B700" s="7" t="s">
        <v>584</v>
      </c>
      <c r="C700">
        <v>1</v>
      </c>
      <c r="D700">
        <v>126031438</v>
      </c>
      <c r="E700" s="8">
        <v>46101.779861111114</v>
      </c>
      <c r="F700" s="8">
        <v>46103.654861111114</v>
      </c>
      <c r="G700">
        <v>1</v>
      </c>
      <c r="H700">
        <v>2</v>
      </c>
      <c r="I700" t="str">
        <f t="shared" si="35"/>
        <v>63072026032001255501</v>
      </c>
      <c r="J700" t="str">
        <f>VLOOKUP(A700,Comuna_empresa!B:E,4,0)</f>
        <v>Quillota</v>
      </c>
    </row>
    <row r="701" spans="1:10">
      <c r="A701">
        <v>5501</v>
      </c>
      <c r="B701" s="7" t="s">
        <v>584</v>
      </c>
      <c r="C701">
        <v>2</v>
      </c>
      <c r="D701">
        <v>126031439</v>
      </c>
      <c r="E701" s="8">
        <v>46101.779861111114</v>
      </c>
      <c r="F701" s="8">
        <v>46103.654861111114</v>
      </c>
      <c r="G701">
        <v>1</v>
      </c>
      <c r="H701">
        <v>2</v>
      </c>
      <c r="I701" t="str">
        <f t="shared" si="35"/>
        <v>63072026032001255501</v>
      </c>
      <c r="J701" t="str">
        <f>VLOOKUP(A701,Comuna_empresa!B:E,4,0)</f>
        <v>Quillota</v>
      </c>
    </row>
    <row r="702" spans="1:10">
      <c r="A702">
        <v>5501</v>
      </c>
      <c r="B702" s="7" t="s">
        <v>585</v>
      </c>
      <c r="C702">
        <v>1</v>
      </c>
      <c r="D702">
        <v>126031440</v>
      </c>
      <c r="E702" s="8">
        <v>46101.779861111114</v>
      </c>
      <c r="F702" s="8">
        <v>46103.654861111114</v>
      </c>
      <c r="G702">
        <v>1</v>
      </c>
      <c r="H702">
        <v>2</v>
      </c>
      <c r="I702" t="str">
        <f t="shared" si="35"/>
        <v>63072026032001325501</v>
      </c>
      <c r="J702" t="str">
        <f>VLOOKUP(A702,Comuna_empresa!B:E,4,0)</f>
        <v>Quillota</v>
      </c>
    </row>
    <row r="703" spans="1:10">
      <c r="A703">
        <v>5502</v>
      </c>
      <c r="B703" s="7" t="s">
        <v>586</v>
      </c>
      <c r="C703">
        <v>1</v>
      </c>
      <c r="D703">
        <v>126031531</v>
      </c>
      <c r="E703" s="8">
        <v>46101.767361111109</v>
      </c>
      <c r="F703" s="8">
        <v>46103.642361111109</v>
      </c>
      <c r="G703">
        <v>1</v>
      </c>
      <c r="H703">
        <v>2</v>
      </c>
      <c r="I703" t="str">
        <f t="shared" si="35"/>
        <v>63072026032001395502</v>
      </c>
      <c r="J703" t="str">
        <f>VLOOKUP(A703,Comuna_empresa!B:E,4,0)</f>
        <v>Calera</v>
      </c>
    </row>
    <row r="704" spans="1:10">
      <c r="A704">
        <v>5502</v>
      </c>
      <c r="B704" s="7" t="s">
        <v>586</v>
      </c>
      <c r="C704">
        <v>2</v>
      </c>
      <c r="D704">
        <v>126031532</v>
      </c>
      <c r="E704" s="8">
        <v>46101.767361111109</v>
      </c>
      <c r="F704" s="8">
        <v>46103.642361111109</v>
      </c>
      <c r="G704">
        <v>1</v>
      </c>
      <c r="H704">
        <v>2</v>
      </c>
      <c r="I704" t="str">
        <f t="shared" si="35"/>
        <v>63072026032001395502</v>
      </c>
      <c r="J704" t="str">
        <f>VLOOKUP(A704,Comuna_empresa!B:E,4,0)</f>
        <v>Calera</v>
      </c>
    </row>
    <row r="705" spans="1:10">
      <c r="A705">
        <v>5502</v>
      </c>
      <c r="B705" s="7" t="s">
        <v>587</v>
      </c>
      <c r="C705">
        <v>1</v>
      </c>
      <c r="D705">
        <v>126031533</v>
      </c>
      <c r="E705" s="8">
        <v>46101.767361111109</v>
      </c>
      <c r="F705" s="8">
        <v>46103.642361111109</v>
      </c>
      <c r="G705">
        <v>1</v>
      </c>
      <c r="H705">
        <v>2</v>
      </c>
      <c r="I705" t="str">
        <f t="shared" si="35"/>
        <v>63072026032001445502</v>
      </c>
      <c r="J705" t="str">
        <f>VLOOKUP(A705,Comuna_empresa!B:E,4,0)</f>
        <v>Calera</v>
      </c>
    </row>
    <row r="706" spans="1:10">
      <c r="A706">
        <v>5502</v>
      </c>
      <c r="B706" s="7" t="s">
        <v>588</v>
      </c>
      <c r="C706">
        <v>1</v>
      </c>
      <c r="D706">
        <v>126031534</v>
      </c>
      <c r="E706" s="8">
        <v>46101.767361111109</v>
      </c>
      <c r="F706" s="8">
        <v>46103.642361111109</v>
      </c>
      <c r="G706">
        <v>1</v>
      </c>
      <c r="H706">
        <v>2</v>
      </c>
      <c r="I706" t="str">
        <f t="shared" si="35"/>
        <v>63072026032001455502</v>
      </c>
      <c r="J706" t="str">
        <f>VLOOKUP(A706,Comuna_empresa!B:E,4,0)</f>
        <v>Calera</v>
      </c>
    </row>
    <row r="707" spans="1:10">
      <c r="A707">
        <v>5502</v>
      </c>
      <c r="B707" s="7" t="s">
        <v>588</v>
      </c>
      <c r="C707">
        <v>2</v>
      </c>
      <c r="D707">
        <v>126031535</v>
      </c>
      <c r="E707" s="8">
        <v>46101.767361111109</v>
      </c>
      <c r="F707" s="8">
        <v>46103.642361111109</v>
      </c>
      <c r="G707">
        <v>1</v>
      </c>
      <c r="H707">
        <v>2</v>
      </c>
      <c r="I707" t="str">
        <f t="shared" si="35"/>
        <v>63072026032001455502</v>
      </c>
      <c r="J707" t="str">
        <f>VLOOKUP(A707,Comuna_empresa!B:E,4,0)</f>
        <v>Calera</v>
      </c>
    </row>
    <row r="708" spans="1:10">
      <c r="A708">
        <v>5501</v>
      </c>
      <c r="B708" s="7" t="s">
        <v>589</v>
      </c>
      <c r="C708">
        <v>1</v>
      </c>
      <c r="D708">
        <v>126031441</v>
      </c>
      <c r="E708" s="8">
        <v>46101.779861111114</v>
      </c>
      <c r="F708" s="8">
        <v>46103.654861111114</v>
      </c>
      <c r="G708">
        <v>1</v>
      </c>
      <c r="H708">
        <v>2</v>
      </c>
      <c r="I708" t="str">
        <f t="shared" si="35"/>
        <v>63072026032001555501</v>
      </c>
      <c r="J708" t="str">
        <f>VLOOKUP(A708,Comuna_empresa!B:E,4,0)</f>
        <v>Quillota</v>
      </c>
    </row>
    <row r="709" spans="1:10">
      <c r="A709">
        <v>5501</v>
      </c>
      <c r="B709" s="7" t="s">
        <v>590</v>
      </c>
      <c r="C709">
        <v>1</v>
      </c>
      <c r="D709">
        <v>126031442</v>
      </c>
      <c r="E709" s="8">
        <v>46101.779861111114</v>
      </c>
      <c r="F709" s="8">
        <v>46103.654861111114</v>
      </c>
      <c r="G709">
        <v>1</v>
      </c>
      <c r="H709">
        <v>2</v>
      </c>
      <c r="I709" t="str">
        <f t="shared" si="35"/>
        <v>63072026032001565501</v>
      </c>
      <c r="J709" t="str">
        <f>VLOOKUP(A709,Comuna_empresa!B:E,4,0)</f>
        <v>Quillota</v>
      </c>
    </row>
    <row r="710" spans="1:10">
      <c r="A710">
        <v>5501</v>
      </c>
      <c r="B710" s="7" t="s">
        <v>591</v>
      </c>
      <c r="C710">
        <v>1</v>
      </c>
      <c r="D710">
        <v>126031443</v>
      </c>
      <c r="E710" s="8">
        <v>46101.779861111114</v>
      </c>
      <c r="F710" s="8">
        <v>46103.654861111114</v>
      </c>
      <c r="G710">
        <v>1</v>
      </c>
      <c r="H710">
        <v>2</v>
      </c>
      <c r="I710" t="str">
        <f t="shared" si="35"/>
        <v>63072026032001725501</v>
      </c>
      <c r="J710" t="str">
        <f>VLOOKUP(A710,Comuna_empresa!B:E,4,0)</f>
        <v>Quillota</v>
      </c>
    </row>
    <row r="711" spans="1:10">
      <c r="A711">
        <v>5502</v>
      </c>
      <c r="B711" s="7" t="s">
        <v>592</v>
      </c>
      <c r="C711">
        <v>1</v>
      </c>
      <c r="D711">
        <v>126031536</v>
      </c>
      <c r="E711" s="8">
        <v>46101.767361111109</v>
      </c>
      <c r="F711" s="8">
        <v>46103.642361111109</v>
      </c>
      <c r="G711">
        <v>1</v>
      </c>
      <c r="H711">
        <v>2</v>
      </c>
      <c r="I711" t="str">
        <f t="shared" si="35"/>
        <v>63072026032001885502</v>
      </c>
      <c r="J711" t="str">
        <f>VLOOKUP(A711,Comuna_empresa!B:E,4,0)</f>
        <v>Calera</v>
      </c>
    </row>
    <row r="712" spans="1:10">
      <c r="A712">
        <v>5502</v>
      </c>
      <c r="B712" s="7" t="s">
        <v>592</v>
      </c>
      <c r="C712">
        <v>2</v>
      </c>
      <c r="D712">
        <v>126031537</v>
      </c>
      <c r="E712" s="8">
        <v>46101.767361111109</v>
      </c>
      <c r="F712" s="8">
        <v>46103.642361111109</v>
      </c>
      <c r="G712">
        <v>1</v>
      </c>
      <c r="H712">
        <v>2</v>
      </c>
      <c r="I712" t="str">
        <f t="shared" si="35"/>
        <v>63072026032001885502</v>
      </c>
      <c r="J712" t="str">
        <f>VLOOKUP(A712,Comuna_empresa!B:E,4,0)</f>
        <v>Calera</v>
      </c>
    </row>
    <row r="713" spans="1:10">
      <c r="A713">
        <v>5501</v>
      </c>
      <c r="B713" s="7" t="s">
        <v>593</v>
      </c>
      <c r="C713">
        <v>1</v>
      </c>
      <c r="D713">
        <v>126031444</v>
      </c>
      <c r="E713" s="8">
        <v>46101.779861111114</v>
      </c>
      <c r="F713" s="8">
        <v>46103.654861111114</v>
      </c>
      <c r="G713">
        <v>1</v>
      </c>
      <c r="H713">
        <v>2</v>
      </c>
      <c r="I713" t="str">
        <f t="shared" si="35"/>
        <v>63072026032100125501</v>
      </c>
      <c r="J713" t="str">
        <f>VLOOKUP(A713,Comuna_empresa!B:E,4,0)</f>
        <v>Quillota</v>
      </c>
    </row>
    <row r="714" spans="1:10">
      <c r="A714">
        <v>5502</v>
      </c>
      <c r="B714" s="7" t="s">
        <v>594</v>
      </c>
      <c r="C714">
        <v>1</v>
      </c>
      <c r="D714">
        <v>126031538</v>
      </c>
      <c r="E714" s="8">
        <v>46101.767361111109</v>
      </c>
      <c r="F714" s="8">
        <v>46103.642361111109</v>
      </c>
      <c r="G714">
        <v>1</v>
      </c>
      <c r="H714">
        <v>2</v>
      </c>
      <c r="I714" t="str">
        <f t="shared" si="35"/>
        <v>63072026032100135502</v>
      </c>
      <c r="J714" t="str">
        <f>VLOOKUP(A714,Comuna_empresa!B:E,4,0)</f>
        <v>Calera</v>
      </c>
    </row>
    <row r="715" spans="1:10">
      <c r="A715">
        <v>5501</v>
      </c>
      <c r="B715" s="7" t="s">
        <v>595</v>
      </c>
      <c r="C715">
        <v>1</v>
      </c>
      <c r="D715">
        <v>126031445</v>
      </c>
      <c r="E715" s="8">
        <v>46101.779861111114</v>
      </c>
      <c r="F715" s="8">
        <v>46103.654861111114</v>
      </c>
      <c r="G715">
        <v>1</v>
      </c>
      <c r="H715">
        <v>2</v>
      </c>
      <c r="I715" t="str">
        <f t="shared" si="35"/>
        <v>63072026032100215501</v>
      </c>
      <c r="J715" t="str">
        <f>VLOOKUP(A715,Comuna_empresa!B:E,4,0)</f>
        <v>Quillota</v>
      </c>
    </row>
    <row r="716" spans="1:10">
      <c r="A716">
        <v>5502</v>
      </c>
      <c r="B716" s="7" t="s">
        <v>596</v>
      </c>
      <c r="C716">
        <v>1</v>
      </c>
      <c r="D716">
        <v>126031539</v>
      </c>
      <c r="E716" s="8">
        <v>46101.767361111109</v>
      </c>
      <c r="F716" s="8">
        <v>46103.642361111109</v>
      </c>
      <c r="G716">
        <v>4</v>
      </c>
      <c r="H716">
        <v>2</v>
      </c>
      <c r="I716" t="str">
        <f t="shared" ref="I716:I779" si="36">"6307"&amp;MID(B716,7,18)&amp;A716</f>
        <v>63072026032100255502</v>
      </c>
      <c r="J716" t="str">
        <f>VLOOKUP(A716,Comuna_empresa!B:E,4,0)</f>
        <v>Calera</v>
      </c>
    </row>
    <row r="717" spans="1:10">
      <c r="A717">
        <v>5502</v>
      </c>
      <c r="B717" s="7" t="s">
        <v>596</v>
      </c>
      <c r="C717">
        <v>2</v>
      </c>
      <c r="D717">
        <v>126031540</v>
      </c>
      <c r="E717" s="8">
        <v>46101.767361111109</v>
      </c>
      <c r="F717" s="8">
        <v>46103.642361111109</v>
      </c>
      <c r="G717">
        <v>4</v>
      </c>
      <c r="H717">
        <v>2</v>
      </c>
      <c r="I717" t="str">
        <f t="shared" si="36"/>
        <v>63072026032100255502</v>
      </c>
      <c r="J717" t="str">
        <f>VLOOKUP(A717,Comuna_empresa!B:E,4,0)</f>
        <v>Calera</v>
      </c>
    </row>
    <row r="718" spans="1:10">
      <c r="A718">
        <v>5502</v>
      </c>
      <c r="B718" s="7" t="s">
        <v>596</v>
      </c>
      <c r="C718">
        <v>3</v>
      </c>
      <c r="D718">
        <v>126031541</v>
      </c>
      <c r="E718" s="8">
        <v>46101.767361111109</v>
      </c>
      <c r="F718" s="8">
        <v>46103.642361111109</v>
      </c>
      <c r="G718">
        <v>4</v>
      </c>
      <c r="H718">
        <v>2</v>
      </c>
      <c r="I718" t="str">
        <f t="shared" si="36"/>
        <v>63072026032100255502</v>
      </c>
      <c r="J718" t="str">
        <f>VLOOKUP(A718,Comuna_empresa!B:E,4,0)</f>
        <v>Calera</v>
      </c>
    </row>
    <row r="719" spans="1:10">
      <c r="A719">
        <v>5501</v>
      </c>
      <c r="B719" s="7" t="s">
        <v>597</v>
      </c>
      <c r="C719">
        <v>1</v>
      </c>
      <c r="D719">
        <v>126031446</v>
      </c>
      <c r="E719" s="8">
        <v>46101.779861111114</v>
      </c>
      <c r="F719" s="8">
        <v>46103.654861111114</v>
      </c>
      <c r="G719">
        <v>1</v>
      </c>
      <c r="H719">
        <v>2</v>
      </c>
      <c r="I719" t="str">
        <f t="shared" si="36"/>
        <v>63072026032100355501</v>
      </c>
      <c r="J719" t="str">
        <f>VLOOKUP(A719,Comuna_empresa!B:E,4,0)</f>
        <v>Quillota</v>
      </c>
    </row>
    <row r="720" spans="1:10">
      <c r="A720">
        <v>5501</v>
      </c>
      <c r="B720" s="7" t="s">
        <v>598</v>
      </c>
      <c r="C720">
        <v>1</v>
      </c>
      <c r="D720">
        <v>126031447</v>
      </c>
      <c r="E720" s="8">
        <v>46101.779861111114</v>
      </c>
      <c r="F720" s="8">
        <v>46103.654861111114</v>
      </c>
      <c r="G720">
        <v>1</v>
      </c>
      <c r="H720">
        <v>2</v>
      </c>
      <c r="I720" t="str">
        <f t="shared" si="36"/>
        <v>63072026032100645501</v>
      </c>
      <c r="J720" t="str">
        <f>VLOOKUP(A720,Comuna_empresa!B:E,4,0)</f>
        <v>Quillota</v>
      </c>
    </row>
    <row r="721" spans="1:10">
      <c r="A721">
        <v>5501</v>
      </c>
      <c r="B721" s="7" t="s">
        <v>599</v>
      </c>
      <c r="C721">
        <v>1</v>
      </c>
      <c r="D721">
        <v>126031448</v>
      </c>
      <c r="E721" s="8">
        <v>46101.779861111114</v>
      </c>
      <c r="F721" s="8">
        <v>46103.654861111114</v>
      </c>
      <c r="G721">
        <v>1</v>
      </c>
      <c r="H721">
        <v>2</v>
      </c>
      <c r="I721" t="str">
        <f t="shared" si="36"/>
        <v>63072026032100695501</v>
      </c>
      <c r="J721" t="str">
        <f>VLOOKUP(A721,Comuna_empresa!B:E,4,0)</f>
        <v>Quillota</v>
      </c>
    </row>
    <row r="722" spans="1:10">
      <c r="A722">
        <v>5501</v>
      </c>
      <c r="B722" s="7" t="s">
        <v>600</v>
      </c>
      <c r="C722">
        <v>1</v>
      </c>
      <c r="D722">
        <v>126031449</v>
      </c>
      <c r="E722" s="8">
        <v>46101.779861111114</v>
      </c>
      <c r="F722" s="8">
        <v>46103.654861111114</v>
      </c>
      <c r="G722">
        <v>1</v>
      </c>
      <c r="H722">
        <v>2</v>
      </c>
      <c r="I722" t="str">
        <f t="shared" si="36"/>
        <v>63072026032100955501</v>
      </c>
      <c r="J722" t="str">
        <f>VLOOKUP(A722,Comuna_empresa!B:E,4,0)</f>
        <v>Quillota</v>
      </c>
    </row>
    <row r="723" spans="1:10">
      <c r="A723">
        <v>5606</v>
      </c>
      <c r="B723" s="7" t="s">
        <v>601</v>
      </c>
      <c r="C723">
        <v>1</v>
      </c>
      <c r="D723">
        <v>126031971</v>
      </c>
      <c r="E723" s="8">
        <v>46103.232638888891</v>
      </c>
      <c r="F723" s="8">
        <v>46106.232638888891</v>
      </c>
      <c r="G723">
        <v>1</v>
      </c>
      <c r="H723">
        <v>2</v>
      </c>
      <c r="I723" t="str">
        <f t="shared" si="36"/>
        <v>63072026032101075606</v>
      </c>
      <c r="J723" t="str">
        <f>VLOOKUP(A723,Comuna_empresa!B:E,4,0)</f>
        <v>Santo Domingo</v>
      </c>
    </row>
    <row r="724" spans="1:10">
      <c r="A724">
        <v>5502</v>
      </c>
      <c r="B724" s="7" t="s">
        <v>602</v>
      </c>
      <c r="C724">
        <v>1</v>
      </c>
      <c r="D724">
        <v>126031542</v>
      </c>
      <c r="E724" s="8">
        <v>46101.767361111109</v>
      </c>
      <c r="F724" s="8">
        <v>46103.642361111109</v>
      </c>
      <c r="G724">
        <v>1</v>
      </c>
      <c r="H724">
        <v>2</v>
      </c>
      <c r="I724" t="str">
        <f t="shared" si="36"/>
        <v>63072026032101285502</v>
      </c>
      <c r="J724" t="str">
        <f>VLOOKUP(A724,Comuna_empresa!B:E,4,0)</f>
        <v>Calera</v>
      </c>
    </row>
    <row r="725" spans="1:10">
      <c r="A725">
        <v>5606</v>
      </c>
      <c r="B725" s="7" t="s">
        <v>603</v>
      </c>
      <c r="C725">
        <v>1</v>
      </c>
      <c r="D725">
        <v>126031972</v>
      </c>
      <c r="E725" s="8">
        <v>46103.232638888891</v>
      </c>
      <c r="F725" s="8">
        <v>46106.232638888891</v>
      </c>
      <c r="G725">
        <v>4</v>
      </c>
      <c r="H725">
        <v>2</v>
      </c>
      <c r="I725" t="str">
        <f t="shared" si="36"/>
        <v>63072026032200015606</v>
      </c>
      <c r="J725" t="str">
        <f>VLOOKUP(A725,Comuna_empresa!B:E,4,0)</f>
        <v>Santo Domingo</v>
      </c>
    </row>
    <row r="726" spans="1:10">
      <c r="A726">
        <v>5606</v>
      </c>
      <c r="B726" s="7" t="s">
        <v>604</v>
      </c>
      <c r="C726">
        <v>1</v>
      </c>
      <c r="D726">
        <v>126031973</v>
      </c>
      <c r="E726" s="8">
        <v>46103.232638888891</v>
      </c>
      <c r="F726" s="8">
        <v>46106.232638888891</v>
      </c>
      <c r="G726">
        <v>4</v>
      </c>
      <c r="H726">
        <v>2</v>
      </c>
      <c r="I726" t="str">
        <f t="shared" si="36"/>
        <v>63072026032200025606</v>
      </c>
      <c r="J726" t="str">
        <f>VLOOKUP(A726,Comuna_empresa!B:E,4,0)</f>
        <v>Santo Domingo</v>
      </c>
    </row>
    <row r="727" spans="1:10">
      <c r="A727">
        <v>5501</v>
      </c>
      <c r="B727" s="7" t="s">
        <v>605</v>
      </c>
      <c r="C727">
        <v>1</v>
      </c>
      <c r="D727">
        <v>126031450</v>
      </c>
      <c r="E727" s="8">
        <v>46101.779861111114</v>
      </c>
      <c r="F727" s="8">
        <v>46103.654861111114</v>
      </c>
      <c r="G727">
        <v>1</v>
      </c>
      <c r="H727">
        <v>2</v>
      </c>
      <c r="I727" t="str">
        <f t="shared" si="36"/>
        <v>63072026032200055501</v>
      </c>
      <c r="J727" t="str">
        <f>VLOOKUP(A727,Comuna_empresa!B:E,4,0)</f>
        <v>Quillota</v>
      </c>
    </row>
    <row r="728" spans="1:10">
      <c r="A728">
        <v>5501</v>
      </c>
      <c r="B728" s="7" t="s">
        <v>606</v>
      </c>
      <c r="C728">
        <v>1</v>
      </c>
      <c r="D728">
        <v>126031451</v>
      </c>
      <c r="E728" s="8">
        <v>46101.779861111114</v>
      </c>
      <c r="F728" s="8">
        <v>46103.654861111114</v>
      </c>
      <c r="G728">
        <v>1</v>
      </c>
      <c r="H728">
        <v>2</v>
      </c>
      <c r="I728" t="str">
        <f t="shared" si="36"/>
        <v>63072026032200365501</v>
      </c>
      <c r="J728" t="str">
        <f>VLOOKUP(A728,Comuna_empresa!B:E,4,0)</f>
        <v>Quillota</v>
      </c>
    </row>
    <row r="729" spans="1:10">
      <c r="A729">
        <v>5606</v>
      </c>
      <c r="B729" s="7" t="s">
        <v>607</v>
      </c>
      <c r="C729">
        <v>1</v>
      </c>
      <c r="D729">
        <v>126031974</v>
      </c>
      <c r="E729" s="8">
        <v>46103.232638888891</v>
      </c>
      <c r="F729" s="8">
        <v>46106.232638888891</v>
      </c>
      <c r="G729">
        <v>4</v>
      </c>
      <c r="H729">
        <v>2</v>
      </c>
      <c r="I729" t="str">
        <f t="shared" si="36"/>
        <v>63072026032200575606</v>
      </c>
      <c r="J729" t="str">
        <f>VLOOKUP(A729,Comuna_empresa!B:E,4,0)</f>
        <v>Santo Domingo</v>
      </c>
    </row>
    <row r="730" spans="1:10">
      <c r="A730">
        <v>5606</v>
      </c>
      <c r="B730" s="7" t="s">
        <v>608</v>
      </c>
      <c r="C730">
        <v>1</v>
      </c>
      <c r="D730">
        <v>126031975</v>
      </c>
      <c r="E730" s="8">
        <v>46103.232638888891</v>
      </c>
      <c r="F730" s="8">
        <v>46106.232638888891</v>
      </c>
      <c r="G730">
        <v>1</v>
      </c>
      <c r="H730">
        <v>2</v>
      </c>
      <c r="I730" t="str">
        <f t="shared" si="36"/>
        <v>63072026032200645606</v>
      </c>
      <c r="J730" t="str">
        <f>VLOOKUP(A730,Comuna_empresa!B:E,4,0)</f>
        <v>Santo Domingo</v>
      </c>
    </row>
    <row r="731" spans="1:10">
      <c r="A731">
        <v>5501</v>
      </c>
      <c r="B731" s="7" t="s">
        <v>609</v>
      </c>
      <c r="C731">
        <v>1</v>
      </c>
      <c r="D731">
        <v>126031457</v>
      </c>
      <c r="E731" s="8">
        <v>46105.024305555555</v>
      </c>
      <c r="F731" s="8">
        <v>46106.899305555555</v>
      </c>
      <c r="G731">
        <v>1</v>
      </c>
      <c r="H731">
        <v>2</v>
      </c>
      <c r="I731" t="str">
        <f t="shared" si="36"/>
        <v>63072026032300655501</v>
      </c>
      <c r="J731" t="str">
        <f>VLOOKUP(A731,Comuna_empresa!B:E,4,0)</f>
        <v>Quillota</v>
      </c>
    </row>
    <row r="732" spans="1:10">
      <c r="A732">
        <v>5501</v>
      </c>
      <c r="B732" s="7" t="s">
        <v>610</v>
      </c>
      <c r="C732">
        <v>1</v>
      </c>
      <c r="D732">
        <v>126031458</v>
      </c>
      <c r="E732" s="8">
        <v>46105.024305555555</v>
      </c>
      <c r="F732" s="8">
        <v>46106.899305555555</v>
      </c>
      <c r="G732">
        <v>1</v>
      </c>
      <c r="H732">
        <v>2</v>
      </c>
      <c r="I732" t="str">
        <f t="shared" si="36"/>
        <v>63072026032300695501</v>
      </c>
      <c r="J732" t="str">
        <f>VLOOKUP(A732,Comuna_empresa!B:E,4,0)</f>
        <v>Quillota</v>
      </c>
    </row>
    <row r="733" spans="1:10">
      <c r="A733">
        <v>5501</v>
      </c>
      <c r="B733" s="7" t="s">
        <v>611</v>
      </c>
      <c r="C733">
        <v>1</v>
      </c>
      <c r="D733">
        <v>126031459</v>
      </c>
      <c r="E733" s="8">
        <v>46105.024305555555</v>
      </c>
      <c r="F733" s="8">
        <v>46106.899305555555</v>
      </c>
      <c r="G733">
        <v>1</v>
      </c>
      <c r="H733">
        <v>2</v>
      </c>
      <c r="I733" t="str">
        <f t="shared" si="36"/>
        <v>63072026032400245501</v>
      </c>
      <c r="J733" t="str">
        <f>VLOOKUP(A733,Comuna_empresa!B:E,4,0)</f>
        <v>Quillota</v>
      </c>
    </row>
    <row r="734" spans="1:10">
      <c r="A734">
        <v>5501</v>
      </c>
      <c r="B734" s="7" t="s">
        <v>612</v>
      </c>
      <c r="C734">
        <v>1</v>
      </c>
      <c r="D734">
        <v>126031460</v>
      </c>
      <c r="E734" s="8">
        <v>46105.024305555555</v>
      </c>
      <c r="F734" s="8">
        <v>46106.899305555555</v>
      </c>
      <c r="G734">
        <v>1</v>
      </c>
      <c r="H734">
        <v>2</v>
      </c>
      <c r="I734" t="str">
        <f t="shared" si="36"/>
        <v>63072026032400375501</v>
      </c>
      <c r="J734" t="str">
        <f>VLOOKUP(A734,Comuna_empresa!B:E,4,0)</f>
        <v>Quillota</v>
      </c>
    </row>
    <row r="735" spans="1:10">
      <c r="A735">
        <v>5606</v>
      </c>
      <c r="B735" s="7" t="s">
        <v>613</v>
      </c>
      <c r="C735">
        <v>1</v>
      </c>
      <c r="D735">
        <v>126031976</v>
      </c>
      <c r="E735" s="8">
        <v>46103.232638888891</v>
      </c>
      <c r="F735" s="8">
        <v>46106.232638888891</v>
      </c>
      <c r="G735">
        <v>1</v>
      </c>
      <c r="H735">
        <v>2</v>
      </c>
      <c r="I735" t="str">
        <f t="shared" si="36"/>
        <v>63072026032400445606</v>
      </c>
      <c r="J735" t="str">
        <f>VLOOKUP(A735,Comuna_empresa!B:E,4,0)</f>
        <v>Santo Domingo</v>
      </c>
    </row>
    <row r="736" spans="1:10">
      <c r="A736">
        <v>5501</v>
      </c>
      <c r="B736" s="7" t="s">
        <v>614</v>
      </c>
      <c r="C736">
        <v>1</v>
      </c>
      <c r="D736">
        <v>126031461</v>
      </c>
      <c r="E736" s="8">
        <v>46105.024305555555</v>
      </c>
      <c r="F736" s="8">
        <v>46106.899305555555</v>
      </c>
      <c r="G736">
        <v>1</v>
      </c>
      <c r="H736">
        <v>2</v>
      </c>
      <c r="I736" t="str">
        <f t="shared" si="36"/>
        <v>63072026032400525501</v>
      </c>
      <c r="J736" t="str">
        <f>VLOOKUP(A736,Comuna_empresa!B:E,4,0)</f>
        <v>Quillota</v>
      </c>
    </row>
    <row r="737" spans="1:10">
      <c r="A737">
        <v>5501</v>
      </c>
      <c r="B737" s="7" t="s">
        <v>615</v>
      </c>
      <c r="C737">
        <v>1</v>
      </c>
      <c r="D737">
        <v>126031462</v>
      </c>
      <c r="E737" s="8">
        <v>46105.024305555555</v>
      </c>
      <c r="F737" s="8">
        <v>46106.899305555555</v>
      </c>
      <c r="G737">
        <v>1</v>
      </c>
      <c r="H737">
        <v>2</v>
      </c>
      <c r="I737" t="str">
        <f t="shared" si="36"/>
        <v>63072026032400585501</v>
      </c>
      <c r="J737" t="str">
        <f>VLOOKUP(A737,Comuna_empresa!B:E,4,0)</f>
        <v>Quillota</v>
      </c>
    </row>
    <row r="738" spans="1:10">
      <c r="A738">
        <v>5501</v>
      </c>
      <c r="B738" s="7" t="s">
        <v>616</v>
      </c>
      <c r="C738">
        <v>1</v>
      </c>
      <c r="D738">
        <v>126031463</v>
      </c>
      <c r="E738" s="8">
        <v>46105.024305555555</v>
      </c>
      <c r="F738" s="8">
        <v>46106.899305555555</v>
      </c>
      <c r="G738">
        <v>1</v>
      </c>
      <c r="H738">
        <v>2</v>
      </c>
      <c r="I738" t="str">
        <f t="shared" si="36"/>
        <v>63072026032400665501</v>
      </c>
      <c r="J738" t="str">
        <f>VLOOKUP(A738,Comuna_empresa!B:E,4,0)</f>
        <v>Quillota</v>
      </c>
    </row>
    <row r="739" spans="1:10">
      <c r="A739">
        <v>5501</v>
      </c>
      <c r="B739" s="7" t="s">
        <v>617</v>
      </c>
      <c r="C739">
        <v>1</v>
      </c>
      <c r="D739">
        <v>126031464</v>
      </c>
      <c r="E739" s="8">
        <v>46105.024305555555</v>
      </c>
      <c r="F739" s="8">
        <v>46106.899305555555</v>
      </c>
      <c r="G739">
        <v>1</v>
      </c>
      <c r="H739">
        <v>2</v>
      </c>
      <c r="I739" t="str">
        <f t="shared" si="36"/>
        <v>63072026032400675501</v>
      </c>
      <c r="J739" t="str">
        <f>VLOOKUP(A739,Comuna_empresa!B:E,4,0)</f>
        <v>Quillota</v>
      </c>
    </row>
    <row r="740" spans="1:10">
      <c r="A740">
        <v>5501</v>
      </c>
      <c r="B740" s="7" t="s">
        <v>618</v>
      </c>
      <c r="C740">
        <v>1</v>
      </c>
      <c r="D740">
        <v>126031465</v>
      </c>
      <c r="E740" s="8">
        <v>46105.024305555555</v>
      </c>
      <c r="F740" s="8">
        <v>46106.899305555555</v>
      </c>
      <c r="G740">
        <v>4</v>
      </c>
      <c r="H740">
        <v>2</v>
      </c>
      <c r="I740" t="str">
        <f t="shared" si="36"/>
        <v>63072026032400685501</v>
      </c>
      <c r="J740" t="str">
        <f>VLOOKUP(A740,Comuna_empresa!B:E,4,0)</f>
        <v>Quillota</v>
      </c>
    </row>
    <row r="741" spans="1:10">
      <c r="A741">
        <v>5501</v>
      </c>
      <c r="B741" s="7" t="s">
        <v>618</v>
      </c>
      <c r="C741">
        <v>2</v>
      </c>
      <c r="D741">
        <v>126031466</v>
      </c>
      <c r="E741" s="8">
        <v>46105.024305555555</v>
      </c>
      <c r="F741" s="8">
        <v>46106.899305555555</v>
      </c>
      <c r="G741">
        <v>4</v>
      </c>
      <c r="H741">
        <v>2</v>
      </c>
      <c r="I741" t="str">
        <f t="shared" si="36"/>
        <v>63072026032400685501</v>
      </c>
      <c r="J741" t="str">
        <f>VLOOKUP(A741,Comuna_empresa!B:E,4,0)</f>
        <v>Quillota</v>
      </c>
    </row>
    <row r="742" spans="1:10">
      <c r="A742">
        <v>5501</v>
      </c>
      <c r="B742" s="7" t="s">
        <v>618</v>
      </c>
      <c r="C742">
        <v>3</v>
      </c>
      <c r="D742">
        <v>126031467</v>
      </c>
      <c r="E742" s="8">
        <v>46105.024305555555</v>
      </c>
      <c r="F742" s="8">
        <v>46106.899305555555</v>
      </c>
      <c r="G742">
        <v>4</v>
      </c>
      <c r="H742">
        <v>2</v>
      </c>
      <c r="I742" t="str">
        <f t="shared" si="36"/>
        <v>63072026032400685501</v>
      </c>
      <c r="J742" t="str">
        <f>VLOOKUP(A742,Comuna_empresa!B:E,4,0)</f>
        <v>Quillota</v>
      </c>
    </row>
    <row r="743" spans="1:10">
      <c r="A743">
        <v>5501</v>
      </c>
      <c r="B743" s="7" t="s">
        <v>619</v>
      </c>
      <c r="C743">
        <v>1</v>
      </c>
      <c r="D743">
        <v>126031468</v>
      </c>
      <c r="E743" s="8">
        <v>46105.024305555555</v>
      </c>
      <c r="F743" s="8">
        <v>46106.899305555555</v>
      </c>
      <c r="G743">
        <v>1</v>
      </c>
      <c r="H743">
        <v>2</v>
      </c>
      <c r="I743" t="str">
        <f t="shared" si="36"/>
        <v>63072026032400705501</v>
      </c>
      <c r="J743" t="str">
        <f>VLOOKUP(A743,Comuna_empresa!B:E,4,0)</f>
        <v>Quillota</v>
      </c>
    </row>
    <row r="744" spans="1:10">
      <c r="A744">
        <v>5606</v>
      </c>
      <c r="B744" s="7" t="s">
        <v>620</v>
      </c>
      <c r="C744">
        <v>1</v>
      </c>
      <c r="D744">
        <v>126031977</v>
      </c>
      <c r="E744" s="8">
        <v>46103.232638888891</v>
      </c>
      <c r="F744" s="8">
        <v>46106.232638888891</v>
      </c>
      <c r="G744">
        <v>4</v>
      </c>
      <c r="H744">
        <v>2</v>
      </c>
      <c r="I744" t="str">
        <f t="shared" si="36"/>
        <v>63072026032400795606</v>
      </c>
      <c r="J744" t="str">
        <f>VLOOKUP(A744,Comuna_empresa!B:E,4,0)</f>
        <v>Santo Domingo</v>
      </c>
    </row>
    <row r="745" spans="1:10">
      <c r="A745">
        <v>5501</v>
      </c>
      <c r="B745" s="7" t="s">
        <v>621</v>
      </c>
      <c r="C745">
        <v>1</v>
      </c>
      <c r="D745">
        <v>126031469</v>
      </c>
      <c r="E745" s="8">
        <v>46105.024305555555</v>
      </c>
      <c r="F745" s="8">
        <v>46106.899305555555</v>
      </c>
      <c r="G745">
        <v>1</v>
      </c>
      <c r="H745">
        <v>2</v>
      </c>
      <c r="I745" t="str">
        <f t="shared" si="36"/>
        <v>63072026032500025501</v>
      </c>
      <c r="J745" t="str">
        <f>VLOOKUP(A745,Comuna_empresa!B:E,4,0)</f>
        <v>Quillota</v>
      </c>
    </row>
    <row r="746" spans="1:10">
      <c r="A746">
        <v>5501</v>
      </c>
      <c r="B746" s="7" t="s">
        <v>622</v>
      </c>
      <c r="C746">
        <v>1</v>
      </c>
      <c r="D746">
        <v>126031470</v>
      </c>
      <c r="E746" s="8">
        <v>46105.024305555555</v>
      </c>
      <c r="F746" s="8">
        <v>46106.899305555555</v>
      </c>
      <c r="G746">
        <v>1</v>
      </c>
      <c r="H746">
        <v>2</v>
      </c>
      <c r="I746" t="str">
        <f t="shared" si="36"/>
        <v>63072026032500185501</v>
      </c>
      <c r="J746" t="str">
        <f>VLOOKUP(A746,Comuna_empresa!B:E,4,0)</f>
        <v>Quillota</v>
      </c>
    </row>
    <row r="747" spans="1:10">
      <c r="A747">
        <v>5501</v>
      </c>
      <c r="B747" s="7" t="s">
        <v>623</v>
      </c>
      <c r="C747">
        <v>1</v>
      </c>
      <c r="D747">
        <v>126031471</v>
      </c>
      <c r="E747" s="8">
        <v>46105.024305555555</v>
      </c>
      <c r="F747" s="8">
        <v>46106.899305555555</v>
      </c>
      <c r="G747">
        <v>1</v>
      </c>
      <c r="H747">
        <v>2</v>
      </c>
      <c r="I747" t="str">
        <f t="shared" si="36"/>
        <v>63072026032500215501</v>
      </c>
      <c r="J747" t="str">
        <f>VLOOKUP(A747,Comuna_empresa!B:E,4,0)</f>
        <v>Quillota</v>
      </c>
    </row>
    <row r="748" spans="1:10">
      <c r="A748">
        <v>5501</v>
      </c>
      <c r="B748" s="7" t="s">
        <v>624</v>
      </c>
      <c r="C748">
        <v>1</v>
      </c>
      <c r="D748">
        <v>126031472</v>
      </c>
      <c r="E748" s="8">
        <v>46107.025694444441</v>
      </c>
      <c r="F748" s="8">
        <v>46108.900694444441</v>
      </c>
      <c r="G748">
        <v>4</v>
      </c>
      <c r="H748">
        <v>2</v>
      </c>
      <c r="I748" t="str">
        <f t="shared" si="36"/>
        <v>63072026032600015501</v>
      </c>
      <c r="J748" t="str">
        <f>VLOOKUP(A748,Comuna_empresa!B:E,4,0)</f>
        <v>Quillota</v>
      </c>
    </row>
    <row r="749" spans="1:10">
      <c r="A749">
        <v>5501</v>
      </c>
      <c r="B749" s="7" t="s">
        <v>624</v>
      </c>
      <c r="C749">
        <v>2</v>
      </c>
      <c r="D749">
        <v>126031473</v>
      </c>
      <c r="E749" s="8">
        <v>46107.025694444441</v>
      </c>
      <c r="F749" s="8">
        <v>46108.900694444441</v>
      </c>
      <c r="G749">
        <v>4</v>
      </c>
      <c r="H749">
        <v>2</v>
      </c>
      <c r="I749" t="str">
        <f t="shared" si="36"/>
        <v>63072026032600015501</v>
      </c>
      <c r="J749" t="str">
        <f>VLOOKUP(A749,Comuna_empresa!B:E,4,0)</f>
        <v>Quillota</v>
      </c>
    </row>
    <row r="750" spans="1:10">
      <c r="A750">
        <v>5501</v>
      </c>
      <c r="B750" s="7" t="s">
        <v>624</v>
      </c>
      <c r="C750">
        <v>3</v>
      </c>
      <c r="D750">
        <v>126031474</v>
      </c>
      <c r="E750" s="8">
        <v>46107.025694444441</v>
      </c>
      <c r="F750" s="8">
        <v>46108.900694444441</v>
      </c>
      <c r="G750">
        <v>4</v>
      </c>
      <c r="H750">
        <v>2</v>
      </c>
      <c r="I750" t="str">
        <f t="shared" si="36"/>
        <v>63072026032600015501</v>
      </c>
      <c r="J750" t="str">
        <f>VLOOKUP(A750,Comuna_empresa!B:E,4,0)</f>
        <v>Quillota</v>
      </c>
    </row>
    <row r="751" spans="1:10">
      <c r="A751">
        <v>5501</v>
      </c>
      <c r="B751" s="7" t="s">
        <v>625</v>
      </c>
      <c r="C751">
        <v>1</v>
      </c>
      <c r="D751">
        <v>126031475</v>
      </c>
      <c r="E751" s="8">
        <v>46107.025694444441</v>
      </c>
      <c r="F751" s="8">
        <v>46108.900694444441</v>
      </c>
      <c r="G751">
        <v>1</v>
      </c>
      <c r="H751">
        <v>2</v>
      </c>
      <c r="I751" t="str">
        <f t="shared" si="36"/>
        <v>63072026032600265501</v>
      </c>
      <c r="J751" t="str">
        <f>VLOOKUP(A751,Comuna_empresa!B:E,4,0)</f>
        <v>Quillota</v>
      </c>
    </row>
    <row r="752" spans="1:10">
      <c r="A752">
        <v>5501</v>
      </c>
      <c r="B752" s="7" t="s">
        <v>626</v>
      </c>
      <c r="C752">
        <v>1</v>
      </c>
      <c r="D752">
        <v>126031476</v>
      </c>
      <c r="E752" s="8">
        <v>46107.025694444441</v>
      </c>
      <c r="F752" s="8">
        <v>46108.900694444441</v>
      </c>
      <c r="G752">
        <v>1</v>
      </c>
      <c r="H752">
        <v>2</v>
      </c>
      <c r="I752" t="str">
        <f t="shared" si="36"/>
        <v>63072026032600315501</v>
      </c>
      <c r="J752" t="str">
        <f>VLOOKUP(A752,Comuna_empresa!B:E,4,0)</f>
        <v>Quillota</v>
      </c>
    </row>
    <row r="753" spans="1:10">
      <c r="A753">
        <v>5501</v>
      </c>
      <c r="B753" s="7" t="s">
        <v>627</v>
      </c>
      <c r="C753">
        <v>1</v>
      </c>
      <c r="D753">
        <v>126031477</v>
      </c>
      <c r="E753" s="8">
        <v>46107.025694444441</v>
      </c>
      <c r="F753" s="8">
        <v>46108.900694444441</v>
      </c>
      <c r="G753">
        <v>4</v>
      </c>
      <c r="H753">
        <v>2</v>
      </c>
      <c r="I753" t="str">
        <f t="shared" si="36"/>
        <v>63072026032600385501</v>
      </c>
      <c r="J753" t="str">
        <f>VLOOKUP(A753,Comuna_empresa!B:E,4,0)</f>
        <v>Quillota</v>
      </c>
    </row>
    <row r="754" spans="1:10">
      <c r="A754">
        <v>5501</v>
      </c>
      <c r="B754" s="7" t="s">
        <v>628</v>
      </c>
      <c r="C754">
        <v>1</v>
      </c>
      <c r="D754">
        <v>126031478</v>
      </c>
      <c r="E754" s="8">
        <v>46107.025694444441</v>
      </c>
      <c r="F754" s="8">
        <v>46108.900694444441</v>
      </c>
      <c r="G754">
        <v>1</v>
      </c>
      <c r="H754">
        <v>2</v>
      </c>
      <c r="I754" t="str">
        <f t="shared" si="36"/>
        <v>63072026032600455501</v>
      </c>
      <c r="J754" t="str">
        <f>VLOOKUP(A754,Comuna_empresa!B:E,4,0)</f>
        <v>Quillota</v>
      </c>
    </row>
    <row r="755" spans="1:10">
      <c r="A755">
        <v>5501</v>
      </c>
      <c r="B755" s="7" t="s">
        <v>629</v>
      </c>
      <c r="C755">
        <v>1</v>
      </c>
      <c r="D755">
        <v>126031479</v>
      </c>
      <c r="E755" s="8">
        <v>46107.025694444441</v>
      </c>
      <c r="F755" s="8">
        <v>46108.900694444441</v>
      </c>
      <c r="G755">
        <v>1</v>
      </c>
      <c r="H755">
        <v>2</v>
      </c>
      <c r="I755" t="str">
        <f t="shared" si="36"/>
        <v>63072026032600525501</v>
      </c>
      <c r="J755" t="str">
        <f>VLOOKUP(A755,Comuna_empresa!B:E,4,0)</f>
        <v>Quillota</v>
      </c>
    </row>
    <row r="756" spans="1:10">
      <c r="A756">
        <v>5501</v>
      </c>
      <c r="B756" s="7" t="s">
        <v>630</v>
      </c>
      <c r="C756">
        <v>1</v>
      </c>
      <c r="D756">
        <v>126031480</v>
      </c>
      <c r="E756" s="8">
        <v>46107.025694444441</v>
      </c>
      <c r="F756" s="8">
        <v>46108.900694444441</v>
      </c>
      <c r="G756">
        <v>1</v>
      </c>
      <c r="H756">
        <v>2</v>
      </c>
      <c r="I756" t="str">
        <f t="shared" si="36"/>
        <v>63072026032700215501</v>
      </c>
      <c r="J756" t="str">
        <f>VLOOKUP(A756,Comuna_empresa!B:E,4,0)</f>
        <v>Quillota</v>
      </c>
    </row>
    <row r="757" spans="1:10">
      <c r="A757">
        <v>5603</v>
      </c>
      <c r="B757" s="7" t="s">
        <v>631</v>
      </c>
      <c r="C757">
        <v>1</v>
      </c>
      <c r="D757">
        <v>126031924</v>
      </c>
      <c r="E757" s="8">
        <v>46109.25</v>
      </c>
      <c r="F757" s="8">
        <v>46111.125</v>
      </c>
      <c r="G757">
        <v>1</v>
      </c>
      <c r="H757">
        <v>2</v>
      </c>
      <c r="I757" t="str">
        <f t="shared" si="36"/>
        <v>63072026032700435603</v>
      </c>
      <c r="J757" t="str">
        <f>VLOOKUP(A757,Comuna_empresa!B:E,4,0)</f>
        <v>Cartagena</v>
      </c>
    </row>
    <row r="758" spans="1:10">
      <c r="A758">
        <v>5601</v>
      </c>
      <c r="B758" s="7" t="s">
        <v>632</v>
      </c>
      <c r="C758">
        <v>1</v>
      </c>
      <c r="D758">
        <v>126031840</v>
      </c>
      <c r="E758" s="8">
        <v>46109.25</v>
      </c>
      <c r="F758" s="8">
        <v>46111.125</v>
      </c>
      <c r="G758">
        <v>1</v>
      </c>
      <c r="H758">
        <v>2</v>
      </c>
      <c r="I758" t="str">
        <f t="shared" si="36"/>
        <v>63072026032800025601</v>
      </c>
      <c r="J758" t="str">
        <f>VLOOKUP(A758,Comuna_empresa!B:E,4,0)</f>
        <v>San Antonio</v>
      </c>
    </row>
    <row r="759" spans="1:10">
      <c r="A759">
        <v>5603</v>
      </c>
      <c r="B759" s="7" t="s">
        <v>632</v>
      </c>
      <c r="C759">
        <v>1</v>
      </c>
      <c r="D759">
        <v>126031927</v>
      </c>
      <c r="E759" s="8">
        <v>46109.25</v>
      </c>
      <c r="F759" s="8">
        <v>46111.125</v>
      </c>
      <c r="G759">
        <v>1</v>
      </c>
      <c r="H759">
        <v>2</v>
      </c>
      <c r="I759" t="str">
        <f t="shared" si="36"/>
        <v>63072026032800025603</v>
      </c>
      <c r="J759" t="str">
        <f>VLOOKUP(A759,Comuna_empresa!B:E,4,0)</f>
        <v>Cartagena</v>
      </c>
    </row>
    <row r="760" spans="1:10">
      <c r="A760">
        <v>5601</v>
      </c>
      <c r="B760" s="7" t="s">
        <v>633</v>
      </c>
      <c r="C760">
        <v>1</v>
      </c>
      <c r="D760">
        <v>126031841</v>
      </c>
      <c r="E760" s="8">
        <v>46109.25</v>
      </c>
      <c r="F760" s="8">
        <v>46111.125</v>
      </c>
      <c r="G760">
        <v>1</v>
      </c>
      <c r="H760">
        <v>2</v>
      </c>
      <c r="I760" t="str">
        <f t="shared" si="36"/>
        <v>63072026032800125601</v>
      </c>
      <c r="J760" t="str">
        <f>VLOOKUP(A760,Comuna_empresa!B:E,4,0)</f>
        <v>San Antonio</v>
      </c>
    </row>
    <row r="761" spans="1:10">
      <c r="A761">
        <v>5601</v>
      </c>
      <c r="B761" s="7" t="s">
        <v>634</v>
      </c>
      <c r="C761">
        <v>1</v>
      </c>
      <c r="D761">
        <v>126031842</v>
      </c>
      <c r="E761" s="8">
        <v>46109.25</v>
      </c>
      <c r="F761" s="8">
        <v>46111.125</v>
      </c>
      <c r="G761">
        <v>1</v>
      </c>
      <c r="H761">
        <v>2</v>
      </c>
      <c r="I761" t="str">
        <f t="shared" si="36"/>
        <v>63072026032800275601</v>
      </c>
      <c r="J761" t="str">
        <f>VLOOKUP(A761,Comuna_empresa!B:E,4,0)</f>
        <v>San Antonio</v>
      </c>
    </row>
    <row r="762" spans="1:10">
      <c r="A762">
        <v>5601</v>
      </c>
      <c r="B762" s="7" t="s">
        <v>635</v>
      </c>
      <c r="C762">
        <v>1</v>
      </c>
      <c r="D762">
        <v>126031843</v>
      </c>
      <c r="E762" s="8">
        <v>46109.25</v>
      </c>
      <c r="F762" s="8">
        <v>46111.125</v>
      </c>
      <c r="G762">
        <v>1</v>
      </c>
      <c r="H762">
        <v>2</v>
      </c>
      <c r="I762" t="str">
        <f t="shared" si="36"/>
        <v>63072026032800295601</v>
      </c>
      <c r="J762" t="str">
        <f>VLOOKUP(A762,Comuna_empresa!B:E,4,0)</f>
        <v>San Antonio</v>
      </c>
    </row>
    <row r="763" spans="1:10">
      <c r="A763">
        <v>5601</v>
      </c>
      <c r="B763" s="7" t="s">
        <v>636</v>
      </c>
      <c r="C763">
        <v>1</v>
      </c>
      <c r="D763">
        <v>126031844</v>
      </c>
      <c r="E763" s="8">
        <v>46109.25</v>
      </c>
      <c r="F763" s="8">
        <v>46111.125</v>
      </c>
      <c r="G763">
        <v>1</v>
      </c>
      <c r="H763">
        <v>2</v>
      </c>
      <c r="I763" t="str">
        <f t="shared" si="36"/>
        <v>63072026032800335601</v>
      </c>
      <c r="J763" t="str">
        <f>VLOOKUP(A763,Comuna_empresa!B:E,4,0)</f>
        <v>San Antonio</v>
      </c>
    </row>
    <row r="764" spans="1:10">
      <c r="A764">
        <v>5603</v>
      </c>
      <c r="B764" s="7" t="s">
        <v>637</v>
      </c>
      <c r="C764">
        <v>1</v>
      </c>
      <c r="D764">
        <v>126031928</v>
      </c>
      <c r="E764" s="8">
        <v>46109.25</v>
      </c>
      <c r="F764" s="8">
        <v>46111.125</v>
      </c>
      <c r="G764">
        <v>1</v>
      </c>
      <c r="H764">
        <v>2</v>
      </c>
      <c r="I764" t="str">
        <f t="shared" si="36"/>
        <v>63072026032800345603</v>
      </c>
      <c r="J764" t="str">
        <f>VLOOKUP(A764,Comuna_empresa!B:E,4,0)</f>
        <v>Cartagena</v>
      </c>
    </row>
    <row r="765" spans="1:10">
      <c r="A765">
        <v>5601</v>
      </c>
      <c r="B765" s="7" t="s">
        <v>638</v>
      </c>
      <c r="C765">
        <v>1</v>
      </c>
      <c r="D765">
        <v>126031845</v>
      </c>
      <c r="E765" s="8">
        <v>46109.25</v>
      </c>
      <c r="F765" s="8">
        <v>46111.125</v>
      </c>
      <c r="G765">
        <v>4</v>
      </c>
      <c r="H765">
        <v>2</v>
      </c>
      <c r="I765" t="str">
        <f t="shared" si="36"/>
        <v>63072026032800375601</v>
      </c>
      <c r="J765" t="str">
        <f>VLOOKUP(A765,Comuna_empresa!B:E,4,0)</f>
        <v>San Antonio</v>
      </c>
    </row>
    <row r="766" spans="1:10">
      <c r="A766">
        <v>5601</v>
      </c>
      <c r="B766" s="7" t="s">
        <v>638</v>
      </c>
      <c r="C766">
        <v>2</v>
      </c>
      <c r="D766">
        <v>126031846</v>
      </c>
      <c r="E766" s="8">
        <v>46109.25</v>
      </c>
      <c r="F766" s="8">
        <v>46111.125</v>
      </c>
      <c r="G766">
        <v>4</v>
      </c>
      <c r="H766">
        <v>2</v>
      </c>
      <c r="I766" t="str">
        <f t="shared" si="36"/>
        <v>63072026032800375601</v>
      </c>
      <c r="J766" t="str">
        <f>VLOOKUP(A766,Comuna_empresa!B:E,4,0)</f>
        <v>San Antonio</v>
      </c>
    </row>
    <row r="767" spans="1:10">
      <c r="A767">
        <v>5601</v>
      </c>
      <c r="B767" s="7" t="s">
        <v>638</v>
      </c>
      <c r="C767">
        <v>3</v>
      </c>
      <c r="D767">
        <v>126031847</v>
      </c>
      <c r="E767" s="8">
        <v>46109.25</v>
      </c>
      <c r="F767" s="8">
        <v>46111.125</v>
      </c>
      <c r="G767">
        <v>4</v>
      </c>
      <c r="H767">
        <v>2</v>
      </c>
      <c r="I767" t="str">
        <f t="shared" si="36"/>
        <v>63072026032800375601</v>
      </c>
      <c r="J767" t="str">
        <f>VLOOKUP(A767,Comuna_empresa!B:E,4,0)</f>
        <v>San Antonio</v>
      </c>
    </row>
    <row r="768" spans="1:10">
      <c r="A768">
        <v>5601</v>
      </c>
      <c r="B768" s="7" t="s">
        <v>638</v>
      </c>
      <c r="C768">
        <v>4</v>
      </c>
      <c r="D768">
        <v>126031848</v>
      </c>
      <c r="E768" s="8">
        <v>46109.25</v>
      </c>
      <c r="F768" s="8">
        <v>46111.125</v>
      </c>
      <c r="G768">
        <v>4</v>
      </c>
      <c r="H768">
        <v>2</v>
      </c>
      <c r="I768" t="str">
        <f t="shared" si="36"/>
        <v>63072026032800375601</v>
      </c>
      <c r="J768" t="str">
        <f>VLOOKUP(A768,Comuna_empresa!B:E,4,0)</f>
        <v>San Antonio</v>
      </c>
    </row>
    <row r="769" spans="1:10">
      <c r="A769">
        <v>5603</v>
      </c>
      <c r="B769" s="7" t="s">
        <v>638</v>
      </c>
      <c r="C769">
        <v>1</v>
      </c>
      <c r="D769">
        <v>126031929</v>
      </c>
      <c r="E769" s="8">
        <v>46109.25</v>
      </c>
      <c r="F769" s="8">
        <v>46111.125</v>
      </c>
      <c r="G769">
        <v>4</v>
      </c>
      <c r="H769">
        <v>2</v>
      </c>
      <c r="I769" t="str">
        <f t="shared" si="36"/>
        <v>63072026032800375603</v>
      </c>
      <c r="J769" t="str">
        <f>VLOOKUP(A769,Comuna_empresa!B:E,4,0)</f>
        <v>Cartagena</v>
      </c>
    </row>
    <row r="770" spans="1:10">
      <c r="A770">
        <v>5603</v>
      </c>
      <c r="B770" s="7" t="s">
        <v>638</v>
      </c>
      <c r="C770">
        <v>2</v>
      </c>
      <c r="D770">
        <v>126031930</v>
      </c>
      <c r="E770" s="8">
        <v>46109.25</v>
      </c>
      <c r="F770" s="8">
        <v>46111.125</v>
      </c>
      <c r="G770">
        <v>4</v>
      </c>
      <c r="H770">
        <v>2</v>
      </c>
      <c r="I770" t="str">
        <f t="shared" si="36"/>
        <v>63072026032800375603</v>
      </c>
      <c r="J770" t="str">
        <f>VLOOKUP(A770,Comuna_empresa!B:E,4,0)</f>
        <v>Cartagena</v>
      </c>
    </row>
    <row r="771" spans="1:10">
      <c r="A771">
        <v>5603</v>
      </c>
      <c r="B771" s="7" t="s">
        <v>638</v>
      </c>
      <c r="C771">
        <v>4</v>
      </c>
      <c r="D771">
        <v>126031931</v>
      </c>
      <c r="E771" s="8">
        <v>46109.25</v>
      </c>
      <c r="F771" s="8">
        <v>46111.125</v>
      </c>
      <c r="G771">
        <v>4</v>
      </c>
      <c r="H771">
        <v>2</v>
      </c>
      <c r="I771" t="str">
        <f t="shared" si="36"/>
        <v>63072026032800375603</v>
      </c>
      <c r="J771" t="str">
        <f>VLOOKUP(A771,Comuna_empresa!B:E,4,0)</f>
        <v>Cartagena</v>
      </c>
    </row>
    <row r="772" spans="1:10">
      <c r="A772">
        <v>5601</v>
      </c>
      <c r="B772" s="7" t="s">
        <v>639</v>
      </c>
      <c r="C772">
        <v>1</v>
      </c>
      <c r="D772">
        <v>126031849</v>
      </c>
      <c r="E772" s="8">
        <v>46109.25</v>
      </c>
      <c r="F772" s="8">
        <v>46111.125</v>
      </c>
      <c r="G772">
        <v>1</v>
      </c>
      <c r="H772">
        <v>2</v>
      </c>
      <c r="I772" t="str">
        <f t="shared" si="36"/>
        <v>63072026032900135601</v>
      </c>
      <c r="J772" t="str">
        <f>VLOOKUP(A772,Comuna_empresa!B:E,4,0)</f>
        <v>San Antonio</v>
      </c>
    </row>
    <row r="773" spans="1:10">
      <c r="A773">
        <v>5601</v>
      </c>
      <c r="B773" s="7" t="s">
        <v>640</v>
      </c>
      <c r="C773">
        <v>1</v>
      </c>
      <c r="D773">
        <v>126031850</v>
      </c>
      <c r="E773" s="8">
        <v>46109.25</v>
      </c>
      <c r="F773" s="8">
        <v>46111.125</v>
      </c>
      <c r="G773">
        <v>1</v>
      </c>
      <c r="H773">
        <v>2</v>
      </c>
      <c r="I773" t="str">
        <f t="shared" si="36"/>
        <v>63072026032900145601</v>
      </c>
      <c r="J773" t="str">
        <f>VLOOKUP(A773,Comuna_empresa!B:E,4,0)</f>
        <v>San Antonio</v>
      </c>
    </row>
    <row r="774" spans="1:10">
      <c r="A774">
        <v>5601</v>
      </c>
      <c r="B774" s="7" t="s">
        <v>641</v>
      </c>
      <c r="C774">
        <v>1</v>
      </c>
      <c r="D774">
        <v>126031851</v>
      </c>
      <c r="E774" s="8">
        <v>46109.25</v>
      </c>
      <c r="F774" s="8">
        <v>46111.125</v>
      </c>
      <c r="G774">
        <v>1</v>
      </c>
      <c r="H774">
        <v>2</v>
      </c>
      <c r="I774" t="str">
        <f t="shared" si="36"/>
        <v>63072026032900175601</v>
      </c>
      <c r="J774" t="str">
        <f>VLOOKUP(A774,Comuna_empresa!B:E,4,0)</f>
        <v>San Antonio</v>
      </c>
    </row>
    <row r="775" spans="1:10">
      <c r="A775">
        <v>5601</v>
      </c>
      <c r="B775" s="7" t="s">
        <v>642</v>
      </c>
      <c r="C775">
        <v>1</v>
      </c>
      <c r="D775">
        <v>126031852</v>
      </c>
      <c r="E775" s="8">
        <v>46109.25</v>
      </c>
      <c r="F775" s="8">
        <v>46111.125</v>
      </c>
      <c r="G775">
        <v>4</v>
      </c>
      <c r="H775">
        <v>2</v>
      </c>
      <c r="I775" t="str">
        <f t="shared" si="36"/>
        <v>63072026032900225601</v>
      </c>
      <c r="J775" t="str">
        <f>VLOOKUP(A775,Comuna_empresa!B:E,4,0)</f>
        <v>San Antonio</v>
      </c>
    </row>
    <row r="776" spans="1:10">
      <c r="A776">
        <v>5603</v>
      </c>
      <c r="B776" s="7" t="s">
        <v>643</v>
      </c>
      <c r="C776">
        <v>1</v>
      </c>
      <c r="D776">
        <v>126031932</v>
      </c>
      <c r="E776" s="8">
        <v>46109.25</v>
      </c>
      <c r="F776" s="8">
        <v>46111.125</v>
      </c>
      <c r="G776">
        <v>1</v>
      </c>
      <c r="H776">
        <v>2</v>
      </c>
      <c r="I776" t="str">
        <f t="shared" si="36"/>
        <v>63072026032900335603</v>
      </c>
      <c r="J776" t="str">
        <f>VLOOKUP(A776,Comuna_empresa!B:E,4,0)</f>
        <v>Cartagena</v>
      </c>
    </row>
    <row r="777" spans="1:10">
      <c r="A777">
        <v>5601</v>
      </c>
      <c r="B777" s="7" t="s">
        <v>644</v>
      </c>
      <c r="C777">
        <v>1</v>
      </c>
      <c r="D777">
        <v>126031853</v>
      </c>
      <c r="E777" s="8">
        <v>46109.25</v>
      </c>
      <c r="F777" s="8">
        <v>46111.125</v>
      </c>
      <c r="G777">
        <v>4</v>
      </c>
      <c r="H777">
        <v>2</v>
      </c>
      <c r="I777" t="str">
        <f t="shared" si="36"/>
        <v>63072026032900355601</v>
      </c>
      <c r="J777" t="str">
        <f>VLOOKUP(A777,Comuna_empresa!B:E,4,0)</f>
        <v>San Antonio</v>
      </c>
    </row>
    <row r="778" spans="1:10">
      <c r="A778">
        <v>5603</v>
      </c>
      <c r="B778" s="7" t="s">
        <v>645</v>
      </c>
      <c r="C778">
        <v>1</v>
      </c>
      <c r="D778">
        <v>126031933</v>
      </c>
      <c r="E778" s="8">
        <v>46109.25</v>
      </c>
      <c r="F778" s="8">
        <v>46111.125</v>
      </c>
      <c r="G778">
        <v>1</v>
      </c>
      <c r="H778">
        <v>2</v>
      </c>
      <c r="I778" t="str">
        <f t="shared" si="36"/>
        <v>63072026032900365603</v>
      </c>
      <c r="J778" t="str">
        <f>VLOOKUP(A778,Comuna_empresa!B:E,4,0)</f>
        <v>Cartagena</v>
      </c>
    </row>
    <row r="779" spans="1:10">
      <c r="A779">
        <v>5601</v>
      </c>
      <c r="B779" s="7" t="s">
        <v>646</v>
      </c>
      <c r="C779">
        <v>1</v>
      </c>
      <c r="D779">
        <v>126031854</v>
      </c>
      <c r="E779" s="8">
        <v>46109.25</v>
      </c>
      <c r="F779" s="8">
        <v>46111.125</v>
      </c>
      <c r="G779">
        <v>4</v>
      </c>
      <c r="H779">
        <v>2</v>
      </c>
      <c r="I779" t="str">
        <f t="shared" si="36"/>
        <v>63072026033000015601</v>
      </c>
      <c r="J779" t="str">
        <f>VLOOKUP(A779,Comuna_empresa!B:E,4,0)</f>
        <v>San Antonio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0DE6-5BE6-4BCE-A568-1AE77B4B0511}">
  <dimension ref="A1:E30"/>
  <sheetViews>
    <sheetView zoomScaleNormal="100" workbookViewId="0">
      <selection activeCell="B18" sqref="B18"/>
    </sheetView>
  </sheetViews>
  <sheetFormatPr baseColWidth="10" defaultColWidth="11.85546875" defaultRowHeight="15"/>
  <cols>
    <col min="1" max="1" width="21.7109375" bestFit="1" customWidth="1"/>
    <col min="2" max="2" width="10.42578125" bestFit="1" customWidth="1"/>
    <col min="3" max="3" width="9.85546875" bestFit="1" customWidth="1"/>
    <col min="4" max="4" width="7.85546875" bestFit="1" customWidth="1"/>
    <col min="5" max="5" width="16.28515625" customWidth="1"/>
    <col min="6" max="6" width="7.28515625" bestFit="1" customWidth="1"/>
    <col min="7" max="7" width="8.140625" bestFit="1" customWidth="1"/>
    <col min="8" max="8" width="7.140625" bestFit="1" customWidth="1"/>
    <col min="9" max="9" width="8.28515625" bestFit="1" customWidth="1"/>
    <col min="10" max="10" width="7.140625" bestFit="1" customWidth="1"/>
    <col min="11" max="11" width="9.85546875" bestFit="1" customWidth="1"/>
    <col min="12" max="12" width="8.140625" bestFit="1" customWidth="1"/>
    <col min="13" max="13" width="7" bestFit="1" customWidth="1"/>
    <col min="14" max="14" width="11.140625" bestFit="1" customWidth="1"/>
    <col min="15" max="15" width="11" bestFit="1" customWidth="1"/>
    <col min="16" max="16" width="9.5703125" bestFit="1" customWidth="1"/>
    <col min="17" max="18" width="8.140625" bestFit="1" customWidth="1"/>
    <col min="19" max="19" width="9" bestFit="1" customWidth="1"/>
    <col min="20" max="20" width="10.140625" bestFit="1" customWidth="1"/>
    <col min="21" max="21" width="11.7109375" bestFit="1" customWidth="1"/>
    <col min="22" max="22" width="11.5703125" bestFit="1" customWidth="1"/>
    <col min="23" max="23" width="10.140625" bestFit="1" customWidth="1"/>
    <col min="24" max="24" width="11.42578125" bestFit="1" customWidth="1"/>
    <col min="25" max="25" width="14.42578125" bestFit="1" customWidth="1"/>
    <col min="26" max="26" width="10.28515625" bestFit="1" customWidth="1"/>
    <col min="27" max="27" width="13.28515625" bestFit="1" customWidth="1"/>
    <col min="28" max="28" width="12.28515625" bestFit="1" customWidth="1"/>
    <col min="29" max="29" width="11" bestFit="1" customWidth="1"/>
    <col min="30" max="30" width="12.5703125" bestFit="1" customWidth="1"/>
  </cols>
  <sheetData>
    <row r="1" spans="1:5">
      <c r="A1" s="2" t="s">
        <v>452</v>
      </c>
      <c r="B1" s="3" t="s">
        <v>453</v>
      </c>
      <c r="C1" s="3" t="s">
        <v>454</v>
      </c>
      <c r="D1" s="4" t="s">
        <v>455</v>
      </c>
      <c r="E1" s="2" t="s">
        <v>452</v>
      </c>
    </row>
    <row r="2" spans="1:5">
      <c r="A2" t="s">
        <v>456</v>
      </c>
      <c r="B2" s="1">
        <v>5101</v>
      </c>
      <c r="C2" s="1">
        <v>122712</v>
      </c>
      <c r="D2" s="1" t="s">
        <v>457</v>
      </c>
      <c r="E2" t="s">
        <v>456</v>
      </c>
    </row>
    <row r="3" spans="1:5">
      <c r="A3" t="s">
        <v>458</v>
      </c>
      <c r="B3" s="1">
        <v>5102</v>
      </c>
      <c r="C3" s="1">
        <v>0</v>
      </c>
      <c r="D3" s="1" t="s">
        <v>459</v>
      </c>
      <c r="E3" t="s">
        <v>458</v>
      </c>
    </row>
    <row r="4" spans="1:5">
      <c r="A4" t="s">
        <v>460</v>
      </c>
      <c r="B4" s="1">
        <v>5103</v>
      </c>
      <c r="C4" s="1">
        <v>27951</v>
      </c>
      <c r="D4" s="1" t="s">
        <v>461</v>
      </c>
      <c r="E4" t="s">
        <v>460</v>
      </c>
    </row>
    <row r="5" spans="1:5">
      <c r="A5" t="s">
        <v>462</v>
      </c>
      <c r="B5" s="1">
        <v>5105</v>
      </c>
      <c r="C5" s="1">
        <v>10051</v>
      </c>
      <c r="D5" s="1" t="s">
        <v>463</v>
      </c>
      <c r="E5" t="s">
        <v>462</v>
      </c>
    </row>
    <row r="6" spans="1:5">
      <c r="A6" t="s">
        <v>464</v>
      </c>
      <c r="B6" s="1">
        <v>5107</v>
      </c>
      <c r="C6" s="1">
        <v>18159</v>
      </c>
      <c r="D6" s="1" t="s">
        <v>463</v>
      </c>
      <c r="E6" t="s">
        <v>464</v>
      </c>
    </row>
    <row r="7" spans="1:5">
      <c r="A7" t="s">
        <v>465</v>
      </c>
      <c r="B7" s="1">
        <v>5109</v>
      </c>
      <c r="C7" s="1">
        <v>90266</v>
      </c>
      <c r="D7" s="1" t="s">
        <v>457</v>
      </c>
      <c r="E7" t="s">
        <v>465</v>
      </c>
    </row>
    <row r="8" spans="1:5">
      <c r="A8" t="s">
        <v>466</v>
      </c>
      <c r="B8" s="1">
        <v>5301</v>
      </c>
      <c r="C8" s="1">
        <v>29596</v>
      </c>
      <c r="D8" s="1" t="s">
        <v>461</v>
      </c>
      <c r="E8" t="s">
        <v>466</v>
      </c>
    </row>
    <row r="9" spans="1:5">
      <c r="A9" t="s">
        <v>467</v>
      </c>
      <c r="B9" s="1">
        <v>5302</v>
      </c>
      <c r="C9" s="1">
        <v>6366</v>
      </c>
      <c r="D9" s="1" t="s">
        <v>463</v>
      </c>
      <c r="E9" t="s">
        <v>467</v>
      </c>
    </row>
    <row r="10" spans="1:5">
      <c r="A10" t="s">
        <v>468</v>
      </c>
      <c r="B10" s="1">
        <v>5303</v>
      </c>
      <c r="C10" s="1">
        <v>4486</v>
      </c>
      <c r="D10" s="1" t="s">
        <v>469</v>
      </c>
      <c r="E10" t="s">
        <v>468</v>
      </c>
    </row>
    <row r="11" spans="1:5">
      <c r="A11" t="s">
        <v>470</v>
      </c>
      <c r="B11" s="1">
        <v>5304</v>
      </c>
      <c r="C11" s="1">
        <v>8522</v>
      </c>
      <c r="D11" s="1" t="s">
        <v>469</v>
      </c>
      <c r="E11" t="s">
        <v>470</v>
      </c>
    </row>
    <row r="12" spans="1:5">
      <c r="A12" t="s">
        <v>471</v>
      </c>
      <c r="B12" s="1">
        <v>5501</v>
      </c>
      <c r="C12" s="1">
        <v>40860</v>
      </c>
      <c r="D12" s="1" t="s">
        <v>461</v>
      </c>
      <c r="E12" t="s">
        <v>471</v>
      </c>
    </row>
    <row r="13" spans="1:5">
      <c r="A13" t="s">
        <v>472</v>
      </c>
      <c r="B13" s="1">
        <v>5502</v>
      </c>
      <c r="C13" s="1">
        <v>20564</v>
      </c>
      <c r="D13" s="1" t="s">
        <v>461</v>
      </c>
      <c r="E13" t="s">
        <v>472</v>
      </c>
    </row>
    <row r="14" spans="1:5">
      <c r="A14" t="s">
        <v>473</v>
      </c>
      <c r="B14" s="1">
        <v>5503</v>
      </c>
      <c r="C14" s="1">
        <v>7442</v>
      </c>
      <c r="D14" s="1" t="s">
        <v>469</v>
      </c>
      <c r="E14" t="s">
        <v>473</v>
      </c>
    </row>
    <row r="15" spans="1:5">
      <c r="A15" t="s">
        <v>474</v>
      </c>
      <c r="B15" s="1">
        <v>5504</v>
      </c>
      <c r="C15" s="1">
        <v>9860</v>
      </c>
      <c r="D15" s="1" t="s">
        <v>463</v>
      </c>
      <c r="E15" t="s">
        <v>474</v>
      </c>
    </row>
    <row r="16" spans="1:5">
      <c r="A16" t="s">
        <v>475</v>
      </c>
      <c r="B16" s="1">
        <v>5506</v>
      </c>
      <c r="C16" s="1">
        <v>8453</v>
      </c>
      <c r="D16" s="1" t="s">
        <v>469</v>
      </c>
      <c r="E16" t="s">
        <v>475</v>
      </c>
    </row>
    <row r="17" spans="1:5">
      <c r="A17" t="s">
        <v>476</v>
      </c>
      <c r="B17" s="1">
        <v>5601</v>
      </c>
      <c r="C17" s="1">
        <v>35043</v>
      </c>
      <c r="D17" s="1" t="s">
        <v>461</v>
      </c>
      <c r="E17" t="s">
        <v>476</v>
      </c>
    </row>
    <row r="18" spans="1:5">
      <c r="A18" t="s">
        <v>477</v>
      </c>
      <c r="B18" s="1">
        <v>5603</v>
      </c>
      <c r="C18" s="1">
        <v>11368</v>
      </c>
      <c r="D18" s="1" t="s">
        <v>461</v>
      </c>
      <c r="E18" t="s">
        <v>477</v>
      </c>
    </row>
    <row r="19" spans="1:5">
      <c r="A19" t="s">
        <v>478</v>
      </c>
      <c r="B19" s="1">
        <v>5605</v>
      </c>
      <c r="C19" s="1">
        <v>195</v>
      </c>
      <c r="D19" s="1" t="s">
        <v>459</v>
      </c>
      <c r="E19" t="s">
        <v>478</v>
      </c>
    </row>
    <row r="20" spans="1:5">
      <c r="A20" t="s">
        <v>479</v>
      </c>
      <c r="B20" s="1">
        <v>5606</v>
      </c>
      <c r="C20" s="1">
        <v>8749</v>
      </c>
      <c r="D20" s="1" t="s">
        <v>469</v>
      </c>
      <c r="E20" t="s">
        <v>479</v>
      </c>
    </row>
    <row r="21" spans="1:5">
      <c r="A21" t="s">
        <v>480</v>
      </c>
      <c r="B21" s="1">
        <v>5701</v>
      </c>
      <c r="C21" s="1">
        <v>32373</v>
      </c>
      <c r="D21" s="1" t="s">
        <v>461</v>
      </c>
      <c r="E21" t="s">
        <v>480</v>
      </c>
    </row>
    <row r="22" spans="1:5">
      <c r="A22" t="s">
        <v>481</v>
      </c>
      <c r="B22" s="1">
        <v>5702</v>
      </c>
      <c r="C22" s="1">
        <v>5589</v>
      </c>
      <c r="D22" s="1" t="s">
        <v>463</v>
      </c>
      <c r="E22" t="s">
        <v>481</v>
      </c>
    </row>
    <row r="23" spans="1:5">
      <c r="A23" t="s">
        <v>482</v>
      </c>
      <c r="B23" s="1">
        <v>5703</v>
      </c>
      <c r="C23" s="1">
        <v>9532</v>
      </c>
      <c r="D23" s="1" t="s">
        <v>463</v>
      </c>
      <c r="E23" t="s">
        <v>482</v>
      </c>
    </row>
    <row r="24" spans="1:5">
      <c r="A24" t="s">
        <v>483</v>
      </c>
      <c r="B24" s="1">
        <v>5704</v>
      </c>
      <c r="C24" s="1">
        <v>2858</v>
      </c>
      <c r="D24" s="1" t="s">
        <v>469</v>
      </c>
      <c r="E24" t="s">
        <v>483</v>
      </c>
    </row>
    <row r="25" spans="1:5">
      <c r="A25" t="s">
        <v>484</v>
      </c>
      <c r="B25" s="1">
        <v>5705</v>
      </c>
      <c r="C25" s="1">
        <v>7020</v>
      </c>
      <c r="D25" s="1" t="s">
        <v>463</v>
      </c>
      <c r="E25" t="s">
        <v>484</v>
      </c>
    </row>
    <row r="26" spans="1:5">
      <c r="A26" t="s">
        <v>485</v>
      </c>
      <c r="B26" s="1">
        <v>5706</v>
      </c>
      <c r="C26" s="1">
        <v>6209</v>
      </c>
      <c r="D26" s="1" t="s">
        <v>463</v>
      </c>
      <c r="E26" t="s">
        <v>485</v>
      </c>
    </row>
    <row r="27" spans="1:5">
      <c r="A27" t="s">
        <v>486</v>
      </c>
      <c r="B27" s="1">
        <v>5801</v>
      </c>
      <c r="C27" s="1">
        <v>66906</v>
      </c>
      <c r="D27" s="1" t="s">
        <v>461</v>
      </c>
      <c r="E27" t="s">
        <v>486</v>
      </c>
    </row>
    <row r="28" spans="1:5">
      <c r="A28" t="s">
        <v>487</v>
      </c>
      <c r="B28" s="1">
        <v>5802</v>
      </c>
      <c r="C28" s="1">
        <v>21097</v>
      </c>
      <c r="D28" s="1" t="s">
        <v>463</v>
      </c>
      <c r="E28" t="s">
        <v>487</v>
      </c>
    </row>
    <row r="29" spans="1:5">
      <c r="A29" t="s">
        <v>488</v>
      </c>
      <c r="B29" s="1">
        <v>5803</v>
      </c>
      <c r="C29" s="1">
        <v>9513</v>
      </c>
      <c r="D29" s="1" t="s">
        <v>463</v>
      </c>
      <c r="E29" t="s">
        <v>488</v>
      </c>
    </row>
    <row r="30" spans="1:5">
      <c r="A30" t="s">
        <v>489</v>
      </c>
      <c r="B30" s="1">
        <v>5804</v>
      </c>
      <c r="C30" s="1">
        <v>55548</v>
      </c>
      <c r="D30" s="1" t="s">
        <v>457</v>
      </c>
      <c r="E30" t="s">
        <v>489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4a4722-df4d-41f3-a002-d519c8b0db7e">
      <Terms xmlns="http://schemas.microsoft.com/office/infopath/2007/PartnerControls"/>
    </lcf76f155ced4ddcb4097134ff3c332f>
    <TaxCatchAll xmlns="5ba4a367-4a75-460f-8bef-1f815a9e7d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67F3192752EF40875E7F8529F9D409" ma:contentTypeVersion="10" ma:contentTypeDescription="Crear nuevo documento." ma:contentTypeScope="" ma:versionID="ae96d7404e9fc44ed4cea0c7281e96b9">
  <xsd:schema xmlns:xsd="http://www.w3.org/2001/XMLSchema" xmlns:xs="http://www.w3.org/2001/XMLSchema" xmlns:p="http://schemas.microsoft.com/office/2006/metadata/properties" xmlns:ns2="594a4722-df4d-41f3-a002-d519c8b0db7e" xmlns:ns3="5ba4a367-4a75-460f-8bef-1f815a9e7d0f" targetNamespace="http://schemas.microsoft.com/office/2006/metadata/properties" ma:root="true" ma:fieldsID="5d5247d662efa17f83e3c09f0ba25f70" ns2:_="" ns3:_="">
    <xsd:import namespace="594a4722-df4d-41f3-a002-d519c8b0db7e"/>
    <xsd:import namespace="5ba4a367-4a75-460f-8bef-1f815a9e7d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a4722-df4d-41f3-a002-d519c8b0d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32c543a-595e-491f-9668-3a6d6d64c3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4a367-4a75-460f-8bef-1f815a9e7d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26bf073-6bdc-41ca-8ca6-c0147433259e}" ma:internalName="TaxCatchAll" ma:showField="CatchAllData" ma:web="5ba4a367-4a75-460f-8bef-1f815a9e7d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1FA90C-1240-4578-9DCF-1B75FD33E4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478021-852F-457E-9B07-1F03002627ED}">
  <ds:schemaRefs>
    <ds:schemaRef ds:uri="http://schemas.microsoft.com/office/2006/metadata/properties"/>
    <ds:schemaRef ds:uri="http://schemas.microsoft.com/office/infopath/2007/PartnerControls"/>
    <ds:schemaRef ds:uri="594a4722-df4d-41f3-a002-d519c8b0db7e"/>
    <ds:schemaRef ds:uri="5ba4a367-4a75-460f-8bef-1f815a9e7d0f"/>
  </ds:schemaRefs>
</ds:datastoreItem>
</file>

<file path=customXml/itemProps3.xml><?xml version="1.0" encoding="utf-8"?>
<ds:datastoreItem xmlns:ds="http://schemas.openxmlformats.org/officeDocument/2006/customXml" ds:itemID="{6EC96581-3B2F-4C44-89C2-09564F6B5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a4722-df4d-41f3-a002-d519c8b0db7e"/>
    <ds:schemaRef ds:uri="5ba4a367-4a75-460f-8bef-1f815a9e7d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EA_</vt:lpstr>
      <vt:lpstr>Comuna_empresa</vt:lpstr>
    </vt:vector>
  </TitlesOfParts>
  <Manager/>
  <Company>Tecnored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Celis Gonzalez</dc:creator>
  <cp:keywords/>
  <dc:description/>
  <cp:lastModifiedBy>Hans Ahumada</cp:lastModifiedBy>
  <cp:revision/>
  <dcterms:created xsi:type="dcterms:W3CDTF">2022-05-26T19:50:02Z</dcterms:created>
  <dcterms:modified xsi:type="dcterms:W3CDTF">2026-05-18T16:20:55Z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0x010100BB67F3192752EF40875E7F8529F9D409</vt:lpwstr>
  </property>
  <property fmtid="{D5CDD505-2E9C-101B-9397-08002B2CF9AE}" pid="3" name="MediaServiceImageTags">
    <vt:lpwstr/>
  </property>
  <property fmtid="{D5CDD505-2E9C-101B-9397-08002B2CF9AE}" pid="4" name="MSIP_Label_32d3b881-994e-4df4-9712-e8179490628e_Enabled">
    <vt:lpwstr>true</vt:lpwstr>
  </property>
  <property fmtid="{D5CDD505-2E9C-101B-9397-08002B2CF9AE}" pid="5" name="MSIP_Label_32d3b881-994e-4df4-9712-e8179490628e_SetDate">
    <vt:lpwstr>2026-02-23T14:07:53Z</vt:lpwstr>
  </property>
  <property fmtid="{D5CDD505-2E9C-101B-9397-08002B2CF9AE}" pid="6" name="MSIP_Label_32d3b881-994e-4df4-9712-e8179490628e_Method">
    <vt:lpwstr>Standard</vt:lpwstr>
  </property>
  <property fmtid="{D5CDD505-2E9C-101B-9397-08002B2CF9AE}" pid="7" name="MSIP_Label_32d3b881-994e-4df4-9712-e8179490628e_Name">
    <vt:lpwstr>Información Pública</vt:lpwstr>
  </property>
  <property fmtid="{D5CDD505-2E9C-101B-9397-08002B2CF9AE}" pid="8" name="MSIP_Label_32d3b881-994e-4df4-9712-e8179490628e_SiteId">
    <vt:lpwstr>5f8f1b31-5fca-45ff-958c-f12d69200314</vt:lpwstr>
  </property>
  <property fmtid="{D5CDD505-2E9C-101B-9397-08002B2CF9AE}" pid="9" name="MSIP_Label_32d3b881-994e-4df4-9712-e8179490628e_ActionId">
    <vt:lpwstr>2408e654-51b5-462f-806a-cc1f313166bc</vt:lpwstr>
  </property>
  <property fmtid="{D5CDD505-2E9C-101B-9397-08002B2CF9AE}" pid="10" name="MSIP_Label_32d3b881-994e-4df4-9712-e8179490628e_ContentBits">
    <vt:lpwstr>0</vt:lpwstr>
  </property>
  <property fmtid="{D5CDD505-2E9C-101B-9397-08002B2CF9AE}" pid="11" name="MSIP_Label_32d3b881-994e-4df4-9712-e8179490628e_Tag">
    <vt:lpwstr>10, 3, 0, 2</vt:lpwstr>
  </property>
</Properties>
</file>